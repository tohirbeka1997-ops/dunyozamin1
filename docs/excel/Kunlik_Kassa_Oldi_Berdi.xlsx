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rlar" sheetId="1" state="visible" r:id="rId1"/>
    <sheet xmlns:r="http://schemas.openxmlformats.org/officeDocument/2006/relationships" name="Kunlik kassa" sheetId="2" state="visible" r:id="rId2"/>
    <sheet xmlns:r="http://schemas.openxmlformats.org/officeDocument/2006/relationships" name="Oldi-berdi" sheetId="3" state="visible" r:id="rId3"/>
    <sheet xmlns:r="http://schemas.openxmlformats.org/officeDocument/2006/relationships" name="Hisob balans" sheetId="4" state="visible" r:id="rId4"/>
    <sheet xmlns:r="http://schemas.openxmlformats.org/officeDocument/2006/relationships" name="Oylik xulosa" sheetId="5" state="visible" r:id="rId5"/>
  </sheets>
  <definedNames>
    <definedName name="StoreName">Parametrlar!$B$5</definedName>
    <definedName name="StartCash">Parametrlar!$B$6</definedName>
    <definedName name="ReportMonth">Parametrlar!$B$7</definedName>
    <definedName name="ReportYear">Parametrlar!$B$8</definedName>
    <definedName name="PeopleReceivable">Oldi-berdi!$B$114</definedName>
    <definedName name="PeoplePayable">Oldi-berdi!$B$115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6">
    <font>
      <name val="Calibri"/>
      <family val="2"/>
      <color theme="1"/>
      <sz val="11"/>
      <scheme val="minor"/>
    </font>
    <font>
      <name val="Calibri"/>
      <b val="1"/>
      <color rgb="001B4F72"/>
      <sz val="16"/>
    </font>
    <font>
      <name val="Calibri"/>
      <color rgb="00566573"/>
      <sz val="11"/>
    </font>
    <font>
      <name val="Calibri"/>
      <b val="1"/>
      <color rgb="00FFFFFF"/>
      <sz val="11"/>
    </font>
    <font>
      <b val="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1B4F72"/>
      </patternFill>
    </fill>
    <fill>
      <patternFill patternType="solid">
        <fgColor rgb="00FFF8E1"/>
      </patternFill>
    </fill>
    <fill>
      <patternFill patternType="solid">
        <fgColor rgb="00E8F5E9"/>
      </patternFill>
    </fill>
    <fill>
      <patternFill patternType="solid">
        <fgColor rgb="00D6EAF8"/>
      </patternFill>
    </fill>
  </fills>
  <borders count="3">
    <border>
      <left/>
      <right/>
      <top/>
      <bottom/>
      <diagonal/>
    </border>
    <border>
      <left style="thin">
        <color rgb="00BFC9CA"/>
      </left>
      <right style="thin">
        <color rgb="00BFC9CA"/>
      </right>
      <top style="thin">
        <color rgb="00BFC9CA"/>
      </top>
      <bottom style="thin">
        <color rgb="00BFC9CA"/>
      </bottom>
    </border>
    <border/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4" fillId="0" borderId="0" pivotButton="0" quotePrefix="0" xfId="0"/>
    <xf numFmtId="165" fontId="0" fillId="3" borderId="1" pivotButton="0" quotePrefix="0" xfId="0"/>
    <xf numFmtId="3" fontId="0" fillId="3" borderId="1" pivotButton="0" quotePrefix="0" xfId="0"/>
    <xf numFmtId="3" fontId="0" fillId="4" borderId="1" pivotButton="0" quotePrefix="0" xfId="0"/>
    <xf numFmtId="0" fontId="5" fillId="0" borderId="0" pivotButton="0" quotePrefix="0" xfId="0"/>
    <xf numFmtId="0" fontId="0" fillId="4" borderId="1" pivotButton="0" quotePrefix="0" xfId="0"/>
    <xf numFmtId="0" fontId="0" fillId="5" borderId="0" pivotButton="0" quotePrefix="0" xfId="0"/>
    <xf numFmtId="0" fontId="0" fillId="0" borderId="2" pivotButton="0" quotePrefix="0" xfId="0"/>
    <xf numFmtId="0" fontId="4" fillId="5" borderId="0" pivotButton="0" quotePrefix="0" xfId="0"/>
    <xf numFmtId="0" fontId="0" fillId="4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tblKunlikKassa" displayName="tblKunlikKassa" ref="A4:H104" headerRowCount="1">
  <autoFilter ref="A4:H104"/>
  <tableColumns count="8">
    <tableColumn id="1" name="Sana"/>
    <tableColumn id="2" name="Kirdi"/>
    <tableColumn id="3" name="Xarajat"/>
    <tableColumn id="4" name="Tavarga_pul"/>
    <tableColumn id="5" name="Boshqa_chiqim"/>
    <tableColumn id="6" name="Jami_chiqim"/>
    <tableColumn id="7" name="Kunlik_farq"/>
    <tableColumn id="8" name="Kassa_qoldiq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OldiBerdi" displayName="tblOldiBerdi" ref="A4:F104" headerRowCount="1">
  <autoFilter ref="A4:F104"/>
  <tableColumns count="6">
    <tableColumn id="1" name="Sana"/>
    <tableColumn id="2" name="Odam"/>
    <tableColumn id="3" name="Berdim"/>
    <tableColumn id="4" name="Oldim"/>
    <tableColumn id="5" name="Izoh"/>
    <tableColumn id="6" name="Qator_balans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42" customWidth="1" min="3" max="3"/>
  </cols>
  <sheetData>
    <row r="1">
      <c r="A1" s="1" t="inlineStr">
        <is>
          <t>Sozlamalar</t>
        </is>
      </c>
    </row>
    <row r="2">
      <c r="A2" s="2" t="inlineStr">
        <is>
          <t>Sariq kataklarni o'zgartiring. Yashil — avtomatik hisob.</t>
        </is>
      </c>
    </row>
    <row r="4" ht="30" customHeight="1">
      <c r="A4" s="3" t="inlineStr">
        <is>
          <t>Parametr</t>
        </is>
      </c>
      <c r="B4" s="3" t="inlineStr">
        <is>
          <t>Qiymat</t>
        </is>
      </c>
      <c r="C4" s="3" t="inlineStr">
        <is>
          <t>Izoh</t>
        </is>
      </c>
    </row>
    <row r="5">
      <c r="A5" t="inlineStr">
        <is>
          <t>Do'kon nomi</t>
        </is>
      </c>
      <c r="B5" s="4" t="inlineStr">
        <is>
          <t>Namuna Do'kon</t>
        </is>
      </c>
      <c r="C5" t="inlineStr">
        <is>
          <t>Sarlavhalar uchun</t>
        </is>
      </c>
    </row>
    <row r="6">
      <c r="A6" t="inlineStr">
        <is>
          <t>Boshlang'ich kassa qoldiq</t>
        </is>
      </c>
      <c r="B6" s="4" t="n">
        <v>500000</v>
      </c>
      <c r="C6" t="inlineStr">
        <is>
          <t>Birinchi kun oldin kassadagi pul (so'm)</t>
        </is>
      </c>
    </row>
    <row r="7">
      <c r="A7" t="inlineStr">
        <is>
          <t>Hisobot oyi</t>
        </is>
      </c>
      <c r="B7" s="4" t="n">
        <v>8</v>
      </c>
      <c r="C7" t="inlineStr">
        <is>
          <t>1–12 (Oylik xulosa filtri)</t>
        </is>
      </c>
    </row>
    <row r="8">
      <c r="A8" t="inlineStr">
        <is>
          <t>Hisobot yili</t>
        </is>
      </c>
      <c r="B8" s="4" t="n">
        <v>2026</v>
      </c>
      <c r="C8" t="inlineStr">
        <is>
          <t>Masalan: 2026</t>
        </is>
      </c>
    </row>
    <row r="10">
      <c r="A10" s="5" t="inlineStr">
        <is>
          <t>Odamlar ro'yxati (ixtiyoriy)</t>
        </is>
      </c>
    </row>
    <row r="11" ht="30" customHeight="1">
      <c r="A11" s="3" t="inlineStr">
        <is>
          <t>Ism</t>
        </is>
      </c>
      <c r="B11" s="3" t="inlineStr">
        <is>
          <t>Izoh</t>
        </is>
      </c>
    </row>
    <row r="12">
      <c r="A12" s="4" t="inlineStr">
        <is>
          <t>Ali</t>
        </is>
      </c>
      <c r="B12" s="4" t="inlineStr">
        <is>
          <t>Do'st</t>
        </is>
      </c>
    </row>
    <row r="13">
      <c r="A13" s="4" t="inlineStr">
        <is>
          <t>Vali</t>
        </is>
      </c>
      <c r="B13" s="4" t="inlineStr">
        <is>
          <t>Yetkazuvchi</t>
        </is>
      </c>
    </row>
    <row r="14">
      <c r="A14" s="4" t="inlineStr">
        <is>
          <t>Hasan</t>
        </is>
      </c>
      <c r="B14" s="4" t="inlineStr">
        <is>
          <t>Qo'shni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  <col width="13" customWidth="1" min="4" max="4"/>
    <col width="15" customWidth="1" min="5" max="5"/>
    <col width="26" customWidth="1" min="6" max="6"/>
    <col width="24" customWidth="1" min="7" max="7"/>
    <col width="26" customWidth="1" min="8" max="8"/>
  </cols>
  <sheetData>
    <row r="1">
      <c r="A1" s="1" t="inlineStr">
        <is>
          <t>Kunlik kassa hisoboti</t>
        </is>
      </c>
    </row>
    <row r="2">
      <c r="A2" s="2" t="inlineStr">
        <is>
          <t>Har kuni bitta qator: sotuvdan kirdi, xarajat, tavarga pul, boshqa chiqim. Yashil ustunlar avtomatik.</t>
        </is>
      </c>
    </row>
    <row r="3"/>
    <row r="4" ht="30" customHeight="1">
      <c r="A4" s="3" t="inlineStr">
        <is>
          <t>Sana</t>
        </is>
      </c>
      <c r="B4" s="3" t="inlineStr">
        <is>
          <t>Kirdi</t>
        </is>
      </c>
      <c r="C4" s="3" t="inlineStr">
        <is>
          <t>Xarajat</t>
        </is>
      </c>
      <c r="D4" s="3" t="inlineStr">
        <is>
          <t>Tavarga_pul</t>
        </is>
      </c>
      <c r="E4" s="3" t="inlineStr">
        <is>
          <t>Boshqa_chiqim</t>
        </is>
      </c>
      <c r="F4" s="3" t="inlineStr">
        <is>
          <t>Jami_chiqim</t>
        </is>
      </c>
      <c r="G4" s="3" t="inlineStr">
        <is>
          <t>Kunlik_farq</t>
        </is>
      </c>
      <c r="H4" s="3" t="inlineStr">
        <is>
          <t>Kassa_qoldiq</t>
        </is>
      </c>
    </row>
    <row r="5">
      <c r="A5" s="6" t="n">
        <v>46235</v>
      </c>
      <c r="B5" s="7" t="n">
        <v>1200000</v>
      </c>
      <c r="C5" s="7" t="n">
        <v>80000</v>
      </c>
      <c r="D5" s="7" t="n">
        <v>450000</v>
      </c>
      <c r="E5" s="7" t="n">
        <v>20000</v>
      </c>
      <c r="F5" s="8">
        <f>SUM(C5:E5)</f>
        <v/>
      </c>
      <c r="G5" s="8">
        <f>B5-F5</f>
        <v/>
      </c>
      <c r="H5" s="8">
        <f>StartCash+G5</f>
        <v/>
      </c>
    </row>
    <row r="6">
      <c r="A6" s="6" t="n">
        <v>46236</v>
      </c>
      <c r="B6" s="7" t="n">
        <v>980000</v>
      </c>
      <c r="C6" s="7" t="n">
        <v>50000</v>
      </c>
      <c r="D6" s="7" t="n">
        <v>0</v>
      </c>
      <c r="E6" s="7" t="n">
        <v>15000</v>
      </c>
      <c r="F6" s="8">
        <f>SUM(C6:E6)</f>
        <v/>
      </c>
      <c r="G6" s="8">
        <f>B6-F6</f>
        <v/>
      </c>
      <c r="H6" s="8">
        <f>H5+G6</f>
        <v/>
      </c>
    </row>
    <row r="7">
      <c r="A7" s="6" t="n">
        <v>46237</v>
      </c>
      <c r="B7" s="7" t="n">
        <v>1500000</v>
      </c>
      <c r="C7" s="7" t="n">
        <v>120000</v>
      </c>
      <c r="D7" s="7" t="n">
        <v>600000</v>
      </c>
      <c r="E7" s="7" t="n">
        <v>30000</v>
      </c>
      <c r="F7" s="8">
        <f>SUM(C7:E7)</f>
        <v/>
      </c>
      <c r="G7" s="8">
        <f>B7-F7</f>
        <v/>
      </c>
      <c r="H7" s="8">
        <f>H6+G7</f>
        <v/>
      </c>
    </row>
    <row r="8">
      <c r="A8" s="6" t="n"/>
      <c r="B8" s="7" t="n"/>
      <c r="C8" s="7" t="n"/>
      <c r="D8" s="7" t="n"/>
      <c r="E8" s="7" t="n"/>
      <c r="F8" s="8">
        <f>IF(A8="","",SUM(C8:E8))</f>
        <v/>
      </c>
      <c r="G8" s="8">
        <f>IF(A8="","",B8-F8)</f>
        <v/>
      </c>
      <c r="H8" s="8">
        <f>IF(A8="","",H7+G8)</f>
        <v/>
      </c>
    </row>
    <row r="9">
      <c r="A9" s="6" t="n"/>
      <c r="B9" s="7" t="n"/>
      <c r="C9" s="7" t="n"/>
      <c r="D9" s="7" t="n"/>
      <c r="E9" s="7" t="n"/>
      <c r="F9" s="8">
        <f>IF(A9="","",SUM(C9:E9))</f>
        <v/>
      </c>
      <c r="G9" s="8">
        <f>IF(A9="","",B9-F9)</f>
        <v/>
      </c>
      <c r="H9" s="8">
        <f>IF(A9="","",IF(H8="",StartCash+G9,H8+G9))</f>
        <v/>
      </c>
    </row>
    <row r="10">
      <c r="A10" s="6" t="n"/>
      <c r="B10" s="7" t="n"/>
      <c r="C10" s="7" t="n"/>
      <c r="D10" s="7" t="n"/>
      <c r="E10" s="7" t="n"/>
      <c r="F10" s="8">
        <f>IF(A10="","",SUM(C10:E10))</f>
        <v/>
      </c>
      <c r="G10" s="8">
        <f>IF(A10="","",B10-F10)</f>
        <v/>
      </c>
      <c r="H10" s="8">
        <f>IF(A10="","",IF(H9="",StartCash+G10,H9+G10))</f>
        <v/>
      </c>
    </row>
    <row r="11">
      <c r="A11" s="6" t="n"/>
      <c r="B11" s="7" t="n"/>
      <c r="C11" s="7" t="n"/>
      <c r="D11" s="7" t="n"/>
      <c r="E11" s="7" t="n"/>
      <c r="F11" s="8">
        <f>IF(A11="","",SUM(C11:E11))</f>
        <v/>
      </c>
      <c r="G11" s="8">
        <f>IF(A11="","",B11-F11)</f>
        <v/>
      </c>
      <c r="H11" s="8">
        <f>IF(A11="","",IF(H10="",StartCash+G11,H10+G11))</f>
        <v/>
      </c>
    </row>
    <row r="12">
      <c r="A12" s="6" t="n"/>
      <c r="B12" s="7" t="n"/>
      <c r="C12" s="7" t="n"/>
      <c r="D12" s="7" t="n"/>
      <c r="E12" s="7" t="n"/>
      <c r="F12" s="8">
        <f>IF(A12="","",SUM(C12:E12))</f>
        <v/>
      </c>
      <c r="G12" s="8">
        <f>IF(A12="","",B12-F12)</f>
        <v/>
      </c>
      <c r="H12" s="8">
        <f>IF(A12="","",IF(H11="",StartCash+G12,H11+G12))</f>
        <v/>
      </c>
    </row>
    <row r="13">
      <c r="A13" s="6" t="n"/>
      <c r="B13" s="7" t="n"/>
      <c r="C13" s="7" t="n"/>
      <c r="D13" s="7" t="n"/>
      <c r="E13" s="7" t="n"/>
      <c r="F13" s="8">
        <f>IF(A13="","",SUM(C13:E13))</f>
        <v/>
      </c>
      <c r="G13" s="8">
        <f>IF(A13="","",B13-F13)</f>
        <v/>
      </c>
      <c r="H13" s="8">
        <f>IF(A13="","",IF(H12="",StartCash+G13,H12+G13))</f>
        <v/>
      </c>
    </row>
    <row r="14">
      <c r="A14" s="6" t="n"/>
      <c r="B14" s="7" t="n"/>
      <c r="C14" s="7" t="n"/>
      <c r="D14" s="7" t="n"/>
      <c r="E14" s="7" t="n"/>
      <c r="F14" s="8">
        <f>IF(A14="","",SUM(C14:E14))</f>
        <v/>
      </c>
      <c r="G14" s="8">
        <f>IF(A14="","",B14-F14)</f>
        <v/>
      </c>
      <c r="H14" s="8">
        <f>IF(A14="","",IF(H13="",StartCash+G14,H13+G14))</f>
        <v/>
      </c>
    </row>
    <row r="15">
      <c r="A15" s="6" t="n"/>
      <c r="B15" s="7" t="n"/>
      <c r="C15" s="7" t="n"/>
      <c r="D15" s="7" t="n"/>
      <c r="E15" s="7" t="n"/>
      <c r="F15" s="8">
        <f>IF(A15="","",SUM(C15:E15))</f>
        <v/>
      </c>
      <c r="G15" s="8">
        <f>IF(A15="","",B15-F15)</f>
        <v/>
      </c>
      <c r="H15" s="8">
        <f>IF(A15="","",IF(H14="",StartCash+G15,H14+G15))</f>
        <v/>
      </c>
    </row>
    <row r="16">
      <c r="A16" s="6" t="n"/>
      <c r="B16" s="7" t="n"/>
      <c r="C16" s="7" t="n"/>
      <c r="D16" s="7" t="n"/>
      <c r="E16" s="7" t="n"/>
      <c r="F16" s="8">
        <f>IF(A16="","",SUM(C16:E16))</f>
        <v/>
      </c>
      <c r="G16" s="8">
        <f>IF(A16="","",B16-F16)</f>
        <v/>
      </c>
      <c r="H16" s="8">
        <f>IF(A16="","",IF(H15="",StartCash+G16,H15+G16))</f>
        <v/>
      </c>
    </row>
    <row r="17">
      <c r="A17" s="6" t="n"/>
      <c r="B17" s="7" t="n"/>
      <c r="C17" s="7" t="n"/>
      <c r="D17" s="7" t="n"/>
      <c r="E17" s="7" t="n"/>
      <c r="F17" s="8">
        <f>IF(A17="","",SUM(C17:E17))</f>
        <v/>
      </c>
      <c r="G17" s="8">
        <f>IF(A17="","",B17-F17)</f>
        <v/>
      </c>
      <c r="H17" s="8">
        <f>IF(A17="","",IF(H16="",StartCash+G17,H16+G17))</f>
        <v/>
      </c>
    </row>
    <row r="18">
      <c r="A18" s="6" t="n"/>
      <c r="B18" s="7" t="n"/>
      <c r="C18" s="7" t="n"/>
      <c r="D18" s="7" t="n"/>
      <c r="E18" s="7" t="n"/>
      <c r="F18" s="8">
        <f>IF(A18="","",SUM(C18:E18))</f>
        <v/>
      </c>
      <c r="G18" s="8">
        <f>IF(A18="","",B18-F18)</f>
        <v/>
      </c>
      <c r="H18" s="8">
        <f>IF(A18="","",IF(H17="",StartCash+G18,H17+G18))</f>
        <v/>
      </c>
    </row>
    <row r="19">
      <c r="A19" s="6" t="n"/>
      <c r="B19" s="7" t="n"/>
      <c r="C19" s="7" t="n"/>
      <c r="D19" s="7" t="n"/>
      <c r="E19" s="7" t="n"/>
      <c r="F19" s="8">
        <f>IF(A19="","",SUM(C19:E19))</f>
        <v/>
      </c>
      <c r="G19" s="8">
        <f>IF(A19="","",B19-F19)</f>
        <v/>
      </c>
      <c r="H19" s="8">
        <f>IF(A19="","",IF(H18="",StartCash+G19,H18+G19))</f>
        <v/>
      </c>
    </row>
    <row r="20">
      <c r="A20" s="6" t="n"/>
      <c r="B20" s="7" t="n"/>
      <c r="C20" s="7" t="n"/>
      <c r="D20" s="7" t="n"/>
      <c r="E20" s="7" t="n"/>
      <c r="F20" s="8">
        <f>IF(A20="","",SUM(C20:E20))</f>
        <v/>
      </c>
      <c r="G20" s="8">
        <f>IF(A20="","",B20-F20)</f>
        <v/>
      </c>
      <c r="H20" s="8">
        <f>IF(A20="","",IF(H19="",StartCash+G20,H19+G20))</f>
        <v/>
      </c>
    </row>
    <row r="21">
      <c r="A21" s="6" t="n"/>
      <c r="B21" s="7" t="n"/>
      <c r="C21" s="7" t="n"/>
      <c r="D21" s="7" t="n"/>
      <c r="E21" s="7" t="n"/>
      <c r="F21" s="8">
        <f>IF(A21="","",SUM(C21:E21))</f>
        <v/>
      </c>
      <c r="G21" s="8">
        <f>IF(A21="","",B21-F21)</f>
        <v/>
      </c>
      <c r="H21" s="8">
        <f>IF(A21="","",IF(H20="",StartCash+G21,H20+G21))</f>
        <v/>
      </c>
    </row>
    <row r="22">
      <c r="A22" s="6" t="n"/>
      <c r="B22" s="7" t="n"/>
      <c r="C22" s="7" t="n"/>
      <c r="D22" s="7" t="n"/>
      <c r="E22" s="7" t="n"/>
      <c r="F22" s="8">
        <f>IF(A22="","",SUM(C22:E22))</f>
        <v/>
      </c>
      <c r="G22" s="8">
        <f>IF(A22="","",B22-F22)</f>
        <v/>
      </c>
      <c r="H22" s="8">
        <f>IF(A22="","",IF(H21="",StartCash+G22,H21+G22))</f>
        <v/>
      </c>
    </row>
    <row r="23">
      <c r="A23" s="6" t="n"/>
      <c r="B23" s="7" t="n"/>
      <c r="C23" s="7" t="n"/>
      <c r="D23" s="7" t="n"/>
      <c r="E23" s="7" t="n"/>
      <c r="F23" s="8">
        <f>IF(A23="","",SUM(C23:E23))</f>
        <v/>
      </c>
      <c r="G23" s="8">
        <f>IF(A23="","",B23-F23)</f>
        <v/>
      </c>
      <c r="H23" s="8">
        <f>IF(A23="","",IF(H22="",StartCash+G23,H22+G23))</f>
        <v/>
      </c>
    </row>
    <row r="24">
      <c r="A24" s="6" t="n"/>
      <c r="B24" s="7" t="n"/>
      <c r="C24" s="7" t="n"/>
      <c r="D24" s="7" t="n"/>
      <c r="E24" s="7" t="n"/>
      <c r="F24" s="8">
        <f>IF(A24="","",SUM(C24:E24))</f>
        <v/>
      </c>
      <c r="G24" s="8">
        <f>IF(A24="","",B24-F24)</f>
        <v/>
      </c>
      <c r="H24" s="8">
        <f>IF(A24="","",IF(H23="",StartCash+G24,H23+G24))</f>
        <v/>
      </c>
    </row>
    <row r="25">
      <c r="A25" s="6" t="n"/>
      <c r="B25" s="7" t="n"/>
      <c r="C25" s="7" t="n"/>
      <c r="D25" s="7" t="n"/>
      <c r="E25" s="7" t="n"/>
      <c r="F25" s="8">
        <f>IF(A25="","",SUM(C25:E25))</f>
        <v/>
      </c>
      <c r="G25" s="8">
        <f>IF(A25="","",B25-F25)</f>
        <v/>
      </c>
      <c r="H25" s="8">
        <f>IF(A25="","",IF(H24="",StartCash+G25,H24+G25))</f>
        <v/>
      </c>
    </row>
    <row r="26">
      <c r="A26" s="6" t="n"/>
      <c r="B26" s="7" t="n"/>
      <c r="C26" s="7" t="n"/>
      <c r="D26" s="7" t="n"/>
      <c r="E26" s="7" t="n"/>
      <c r="F26" s="8">
        <f>IF(A26="","",SUM(C26:E26))</f>
        <v/>
      </c>
      <c r="G26" s="8">
        <f>IF(A26="","",B26-F26)</f>
        <v/>
      </c>
      <c r="H26" s="8">
        <f>IF(A26="","",IF(H25="",StartCash+G26,H25+G26))</f>
        <v/>
      </c>
    </row>
    <row r="27">
      <c r="A27" s="6" t="n"/>
      <c r="B27" s="7" t="n"/>
      <c r="C27" s="7" t="n"/>
      <c r="D27" s="7" t="n"/>
      <c r="E27" s="7" t="n"/>
      <c r="F27" s="8">
        <f>IF(A27="","",SUM(C27:E27))</f>
        <v/>
      </c>
      <c r="G27" s="8">
        <f>IF(A27="","",B27-F27)</f>
        <v/>
      </c>
      <c r="H27" s="8">
        <f>IF(A27="","",IF(H26="",StartCash+G27,H26+G27))</f>
        <v/>
      </c>
    </row>
    <row r="28">
      <c r="A28" s="6" t="n"/>
      <c r="B28" s="7" t="n"/>
      <c r="C28" s="7" t="n"/>
      <c r="D28" s="7" t="n"/>
      <c r="E28" s="7" t="n"/>
      <c r="F28" s="8">
        <f>IF(A28="","",SUM(C28:E28))</f>
        <v/>
      </c>
      <c r="G28" s="8">
        <f>IF(A28="","",B28-F28)</f>
        <v/>
      </c>
      <c r="H28" s="8">
        <f>IF(A28="","",IF(H27="",StartCash+G28,H27+G28))</f>
        <v/>
      </c>
    </row>
    <row r="29">
      <c r="A29" s="6" t="n"/>
      <c r="B29" s="7" t="n"/>
      <c r="C29" s="7" t="n"/>
      <c r="D29" s="7" t="n"/>
      <c r="E29" s="7" t="n"/>
      <c r="F29" s="8">
        <f>IF(A29="","",SUM(C29:E29))</f>
        <v/>
      </c>
      <c r="G29" s="8">
        <f>IF(A29="","",B29-F29)</f>
        <v/>
      </c>
      <c r="H29" s="8">
        <f>IF(A29="","",IF(H28="",StartCash+G29,H28+G29))</f>
        <v/>
      </c>
    </row>
    <row r="30">
      <c r="A30" s="6" t="n"/>
      <c r="B30" s="7" t="n"/>
      <c r="C30" s="7" t="n"/>
      <c r="D30" s="7" t="n"/>
      <c r="E30" s="7" t="n"/>
      <c r="F30" s="8">
        <f>IF(A30="","",SUM(C30:E30))</f>
        <v/>
      </c>
      <c r="G30" s="8">
        <f>IF(A30="","",B30-F30)</f>
        <v/>
      </c>
      <c r="H30" s="8">
        <f>IF(A30="","",IF(H29="",StartCash+G30,H29+G30))</f>
        <v/>
      </c>
    </row>
    <row r="31">
      <c r="A31" s="6" t="n"/>
      <c r="B31" s="7" t="n"/>
      <c r="C31" s="7" t="n"/>
      <c r="D31" s="7" t="n"/>
      <c r="E31" s="7" t="n"/>
      <c r="F31" s="8">
        <f>IF(A31="","",SUM(C31:E31))</f>
        <v/>
      </c>
      <c r="G31" s="8">
        <f>IF(A31="","",B31-F31)</f>
        <v/>
      </c>
      <c r="H31" s="8">
        <f>IF(A31="","",IF(H30="",StartCash+G31,H30+G31))</f>
        <v/>
      </c>
    </row>
    <row r="32">
      <c r="A32" s="6" t="n"/>
      <c r="B32" s="7" t="n"/>
      <c r="C32" s="7" t="n"/>
      <c r="D32" s="7" t="n"/>
      <c r="E32" s="7" t="n"/>
      <c r="F32" s="8">
        <f>IF(A32="","",SUM(C32:E32))</f>
        <v/>
      </c>
      <c r="G32" s="8">
        <f>IF(A32="","",B32-F32)</f>
        <v/>
      </c>
      <c r="H32" s="8">
        <f>IF(A32="","",IF(H31="",StartCash+G32,H31+G32))</f>
        <v/>
      </c>
    </row>
    <row r="33">
      <c r="A33" s="6" t="n"/>
      <c r="B33" s="7" t="n"/>
      <c r="C33" s="7" t="n"/>
      <c r="D33" s="7" t="n"/>
      <c r="E33" s="7" t="n"/>
      <c r="F33" s="8">
        <f>IF(A33="","",SUM(C33:E33))</f>
        <v/>
      </c>
      <c r="G33" s="8">
        <f>IF(A33="","",B33-F33)</f>
        <v/>
      </c>
      <c r="H33" s="8">
        <f>IF(A33="","",IF(H32="",StartCash+G33,H32+G33))</f>
        <v/>
      </c>
    </row>
    <row r="34">
      <c r="A34" s="6" t="n"/>
      <c r="B34" s="7" t="n"/>
      <c r="C34" s="7" t="n"/>
      <c r="D34" s="7" t="n"/>
      <c r="E34" s="7" t="n"/>
      <c r="F34" s="8">
        <f>IF(A34="","",SUM(C34:E34))</f>
        <v/>
      </c>
      <c r="G34" s="8">
        <f>IF(A34="","",B34-F34)</f>
        <v/>
      </c>
      <c r="H34" s="8">
        <f>IF(A34="","",IF(H33="",StartCash+G34,H33+G34))</f>
        <v/>
      </c>
    </row>
    <row r="35">
      <c r="A35" s="6" t="n"/>
      <c r="B35" s="7" t="n"/>
      <c r="C35" s="7" t="n"/>
      <c r="D35" s="7" t="n"/>
      <c r="E35" s="7" t="n"/>
      <c r="F35" s="8">
        <f>IF(A35="","",SUM(C35:E35))</f>
        <v/>
      </c>
      <c r="G35" s="8">
        <f>IF(A35="","",B35-F35)</f>
        <v/>
      </c>
      <c r="H35" s="8">
        <f>IF(A35="","",IF(H34="",StartCash+G35,H34+G35))</f>
        <v/>
      </c>
    </row>
    <row r="36">
      <c r="A36" s="6" t="n"/>
      <c r="B36" s="7" t="n"/>
      <c r="C36" s="7" t="n"/>
      <c r="D36" s="7" t="n"/>
      <c r="E36" s="7" t="n"/>
      <c r="F36" s="8">
        <f>IF(A36="","",SUM(C36:E36))</f>
        <v/>
      </c>
      <c r="G36" s="8">
        <f>IF(A36="","",B36-F36)</f>
        <v/>
      </c>
      <c r="H36" s="8">
        <f>IF(A36="","",IF(H35="",StartCash+G36,H35+G36))</f>
        <v/>
      </c>
    </row>
    <row r="37">
      <c r="A37" s="6" t="n"/>
      <c r="B37" s="7" t="n"/>
      <c r="C37" s="7" t="n"/>
      <c r="D37" s="7" t="n"/>
      <c r="E37" s="7" t="n"/>
      <c r="F37" s="8">
        <f>IF(A37="","",SUM(C37:E37))</f>
        <v/>
      </c>
      <c r="G37" s="8">
        <f>IF(A37="","",B37-F37)</f>
        <v/>
      </c>
      <c r="H37" s="8">
        <f>IF(A37="","",IF(H36="",StartCash+G37,H36+G37))</f>
        <v/>
      </c>
    </row>
    <row r="38">
      <c r="A38" s="6" t="n"/>
      <c r="B38" s="7" t="n"/>
      <c r="C38" s="7" t="n"/>
      <c r="D38" s="7" t="n"/>
      <c r="E38" s="7" t="n"/>
      <c r="F38" s="8">
        <f>IF(A38="","",SUM(C38:E38))</f>
        <v/>
      </c>
      <c r="G38" s="8">
        <f>IF(A38="","",B38-F38)</f>
        <v/>
      </c>
      <c r="H38" s="8">
        <f>IF(A38="","",IF(H37="",StartCash+G38,H37+G38))</f>
        <v/>
      </c>
    </row>
    <row r="39">
      <c r="A39" s="6" t="n"/>
      <c r="B39" s="7" t="n"/>
      <c r="C39" s="7" t="n"/>
      <c r="D39" s="7" t="n"/>
      <c r="E39" s="7" t="n"/>
      <c r="F39" s="8">
        <f>IF(A39="","",SUM(C39:E39))</f>
        <v/>
      </c>
      <c r="G39" s="8">
        <f>IF(A39="","",B39-F39)</f>
        <v/>
      </c>
      <c r="H39" s="8">
        <f>IF(A39="","",IF(H38="",StartCash+G39,H38+G39))</f>
        <v/>
      </c>
    </row>
    <row r="40">
      <c r="A40" s="6" t="n"/>
      <c r="B40" s="7" t="n"/>
      <c r="C40" s="7" t="n"/>
      <c r="D40" s="7" t="n"/>
      <c r="E40" s="7" t="n"/>
      <c r="F40" s="8">
        <f>IF(A40="","",SUM(C40:E40))</f>
        <v/>
      </c>
      <c r="G40" s="8">
        <f>IF(A40="","",B40-F40)</f>
        <v/>
      </c>
      <c r="H40" s="8">
        <f>IF(A40="","",IF(H39="",StartCash+G40,H39+G40))</f>
        <v/>
      </c>
    </row>
    <row r="41">
      <c r="A41" s="6" t="n"/>
      <c r="B41" s="7" t="n"/>
      <c r="C41" s="7" t="n"/>
      <c r="D41" s="7" t="n"/>
      <c r="E41" s="7" t="n"/>
      <c r="F41" s="8">
        <f>IF(A41="","",SUM(C41:E41))</f>
        <v/>
      </c>
      <c r="G41" s="8">
        <f>IF(A41="","",B41-F41)</f>
        <v/>
      </c>
      <c r="H41" s="8">
        <f>IF(A41="","",IF(H40="",StartCash+G41,H40+G41))</f>
        <v/>
      </c>
    </row>
    <row r="42">
      <c r="A42" s="6" t="n"/>
      <c r="B42" s="7" t="n"/>
      <c r="C42" s="7" t="n"/>
      <c r="D42" s="7" t="n"/>
      <c r="E42" s="7" t="n"/>
      <c r="F42" s="8">
        <f>IF(A42="","",SUM(C42:E42))</f>
        <v/>
      </c>
      <c r="G42" s="8">
        <f>IF(A42="","",B42-F42)</f>
        <v/>
      </c>
      <c r="H42" s="8">
        <f>IF(A42="","",IF(H41="",StartCash+G42,H41+G42))</f>
        <v/>
      </c>
    </row>
    <row r="43">
      <c r="A43" s="6" t="n"/>
      <c r="B43" s="7" t="n"/>
      <c r="C43" s="7" t="n"/>
      <c r="D43" s="7" t="n"/>
      <c r="E43" s="7" t="n"/>
      <c r="F43" s="8">
        <f>IF(A43="","",SUM(C43:E43))</f>
        <v/>
      </c>
      <c r="G43" s="8">
        <f>IF(A43="","",B43-F43)</f>
        <v/>
      </c>
      <c r="H43" s="8">
        <f>IF(A43="","",IF(H42="",StartCash+G43,H42+G43))</f>
        <v/>
      </c>
    </row>
    <row r="44">
      <c r="A44" s="6" t="n"/>
      <c r="B44" s="7" t="n"/>
      <c r="C44" s="7" t="n"/>
      <c r="D44" s="7" t="n"/>
      <c r="E44" s="7" t="n"/>
      <c r="F44" s="8">
        <f>IF(A44="","",SUM(C44:E44))</f>
        <v/>
      </c>
      <c r="G44" s="8">
        <f>IF(A44="","",B44-F44)</f>
        <v/>
      </c>
      <c r="H44" s="8">
        <f>IF(A44="","",IF(H43="",StartCash+G44,H43+G44))</f>
        <v/>
      </c>
    </row>
    <row r="45">
      <c r="A45" s="6" t="n"/>
      <c r="B45" s="7" t="n"/>
      <c r="C45" s="7" t="n"/>
      <c r="D45" s="7" t="n"/>
      <c r="E45" s="7" t="n"/>
      <c r="F45" s="8">
        <f>IF(A45="","",SUM(C45:E45))</f>
        <v/>
      </c>
      <c r="G45" s="8">
        <f>IF(A45="","",B45-F45)</f>
        <v/>
      </c>
      <c r="H45" s="8">
        <f>IF(A45="","",IF(H44="",StartCash+G45,H44+G45))</f>
        <v/>
      </c>
    </row>
    <row r="46">
      <c r="A46" s="6" t="n"/>
      <c r="B46" s="7" t="n"/>
      <c r="C46" s="7" t="n"/>
      <c r="D46" s="7" t="n"/>
      <c r="E46" s="7" t="n"/>
      <c r="F46" s="8">
        <f>IF(A46="","",SUM(C46:E46))</f>
        <v/>
      </c>
      <c r="G46" s="8">
        <f>IF(A46="","",B46-F46)</f>
        <v/>
      </c>
      <c r="H46" s="8">
        <f>IF(A46="","",IF(H45="",StartCash+G46,H45+G46))</f>
        <v/>
      </c>
    </row>
    <row r="47">
      <c r="A47" s="6" t="n"/>
      <c r="B47" s="7" t="n"/>
      <c r="C47" s="7" t="n"/>
      <c r="D47" s="7" t="n"/>
      <c r="E47" s="7" t="n"/>
      <c r="F47" s="8">
        <f>IF(A47="","",SUM(C47:E47))</f>
        <v/>
      </c>
      <c r="G47" s="8">
        <f>IF(A47="","",B47-F47)</f>
        <v/>
      </c>
      <c r="H47" s="8">
        <f>IF(A47="","",IF(H46="",StartCash+G47,H46+G47))</f>
        <v/>
      </c>
    </row>
    <row r="48">
      <c r="A48" s="6" t="n"/>
      <c r="B48" s="7" t="n"/>
      <c r="C48" s="7" t="n"/>
      <c r="D48" s="7" t="n"/>
      <c r="E48" s="7" t="n"/>
      <c r="F48" s="8">
        <f>IF(A48="","",SUM(C48:E48))</f>
        <v/>
      </c>
      <c r="G48" s="8">
        <f>IF(A48="","",B48-F48)</f>
        <v/>
      </c>
      <c r="H48" s="8">
        <f>IF(A48="","",IF(H47="",StartCash+G48,H47+G48))</f>
        <v/>
      </c>
    </row>
    <row r="49">
      <c r="A49" s="6" t="n"/>
      <c r="B49" s="7" t="n"/>
      <c r="C49" s="7" t="n"/>
      <c r="D49" s="7" t="n"/>
      <c r="E49" s="7" t="n"/>
      <c r="F49" s="8">
        <f>IF(A49="","",SUM(C49:E49))</f>
        <v/>
      </c>
      <c r="G49" s="8">
        <f>IF(A49="","",B49-F49)</f>
        <v/>
      </c>
      <c r="H49" s="8">
        <f>IF(A49="","",IF(H48="",StartCash+G49,H48+G49))</f>
        <v/>
      </c>
    </row>
    <row r="50">
      <c r="A50" s="6" t="n"/>
      <c r="B50" s="7" t="n"/>
      <c r="C50" s="7" t="n"/>
      <c r="D50" s="7" t="n"/>
      <c r="E50" s="7" t="n"/>
      <c r="F50" s="8">
        <f>IF(A50="","",SUM(C50:E50))</f>
        <v/>
      </c>
      <c r="G50" s="8">
        <f>IF(A50="","",B50-F50)</f>
        <v/>
      </c>
      <c r="H50" s="8">
        <f>IF(A50="","",IF(H49="",StartCash+G50,H49+G50))</f>
        <v/>
      </c>
    </row>
    <row r="51">
      <c r="A51" s="6" t="n"/>
      <c r="B51" s="7" t="n"/>
      <c r="C51" s="7" t="n"/>
      <c r="D51" s="7" t="n"/>
      <c r="E51" s="7" t="n"/>
      <c r="F51" s="8">
        <f>IF(A51="","",SUM(C51:E51))</f>
        <v/>
      </c>
      <c r="G51" s="8">
        <f>IF(A51="","",B51-F51)</f>
        <v/>
      </c>
      <c r="H51" s="8">
        <f>IF(A51="","",IF(H50="",StartCash+G51,H50+G51))</f>
        <v/>
      </c>
    </row>
    <row r="52">
      <c r="A52" s="6" t="n"/>
      <c r="B52" s="7" t="n"/>
      <c r="C52" s="7" t="n"/>
      <c r="D52" s="7" t="n"/>
      <c r="E52" s="7" t="n"/>
      <c r="F52" s="8">
        <f>IF(A52="","",SUM(C52:E52))</f>
        <v/>
      </c>
      <c r="G52" s="8">
        <f>IF(A52="","",B52-F52)</f>
        <v/>
      </c>
      <c r="H52" s="8">
        <f>IF(A52="","",IF(H51="",StartCash+G52,H51+G52))</f>
        <v/>
      </c>
    </row>
    <row r="53">
      <c r="A53" s="6" t="n"/>
      <c r="B53" s="7" t="n"/>
      <c r="C53" s="7" t="n"/>
      <c r="D53" s="7" t="n"/>
      <c r="E53" s="7" t="n"/>
      <c r="F53" s="8">
        <f>IF(A53="","",SUM(C53:E53))</f>
        <v/>
      </c>
      <c r="G53" s="8">
        <f>IF(A53="","",B53-F53)</f>
        <v/>
      </c>
      <c r="H53" s="8">
        <f>IF(A53="","",IF(H52="",StartCash+G53,H52+G53))</f>
        <v/>
      </c>
    </row>
    <row r="54">
      <c r="A54" s="6" t="n"/>
      <c r="B54" s="7" t="n"/>
      <c r="C54" s="7" t="n"/>
      <c r="D54" s="7" t="n"/>
      <c r="E54" s="7" t="n"/>
      <c r="F54" s="8">
        <f>IF(A54="","",SUM(C54:E54))</f>
        <v/>
      </c>
      <c r="G54" s="8">
        <f>IF(A54="","",B54-F54)</f>
        <v/>
      </c>
      <c r="H54" s="8">
        <f>IF(A54="","",IF(H53="",StartCash+G54,H53+G54))</f>
        <v/>
      </c>
    </row>
    <row r="55">
      <c r="A55" s="6" t="n"/>
      <c r="B55" s="7" t="n"/>
      <c r="C55" s="7" t="n"/>
      <c r="D55" s="7" t="n"/>
      <c r="E55" s="7" t="n"/>
      <c r="F55" s="8">
        <f>IF(A55="","",SUM(C55:E55))</f>
        <v/>
      </c>
      <c r="G55" s="8">
        <f>IF(A55="","",B55-F55)</f>
        <v/>
      </c>
      <c r="H55" s="8">
        <f>IF(A55="","",IF(H54="",StartCash+G55,H54+G55))</f>
        <v/>
      </c>
    </row>
    <row r="56">
      <c r="A56" s="6" t="n"/>
      <c r="B56" s="7" t="n"/>
      <c r="C56" s="7" t="n"/>
      <c r="D56" s="7" t="n"/>
      <c r="E56" s="7" t="n"/>
      <c r="F56" s="8">
        <f>IF(A56="","",SUM(C56:E56))</f>
        <v/>
      </c>
      <c r="G56" s="8">
        <f>IF(A56="","",B56-F56)</f>
        <v/>
      </c>
      <c r="H56" s="8">
        <f>IF(A56="","",IF(H55="",StartCash+G56,H55+G56))</f>
        <v/>
      </c>
    </row>
    <row r="57">
      <c r="A57" s="6" t="n"/>
      <c r="B57" s="7" t="n"/>
      <c r="C57" s="7" t="n"/>
      <c r="D57" s="7" t="n"/>
      <c r="E57" s="7" t="n"/>
      <c r="F57" s="8">
        <f>IF(A57="","",SUM(C57:E57))</f>
        <v/>
      </c>
      <c r="G57" s="8">
        <f>IF(A57="","",B57-F57)</f>
        <v/>
      </c>
      <c r="H57" s="8">
        <f>IF(A57="","",IF(H56="",StartCash+G57,H56+G57))</f>
        <v/>
      </c>
    </row>
    <row r="58">
      <c r="A58" s="6" t="n"/>
      <c r="B58" s="7" t="n"/>
      <c r="C58" s="7" t="n"/>
      <c r="D58" s="7" t="n"/>
      <c r="E58" s="7" t="n"/>
      <c r="F58" s="8">
        <f>IF(A58="","",SUM(C58:E58))</f>
        <v/>
      </c>
      <c r="G58" s="8">
        <f>IF(A58="","",B58-F58)</f>
        <v/>
      </c>
      <c r="H58" s="8">
        <f>IF(A58="","",IF(H57="",StartCash+G58,H57+G58))</f>
        <v/>
      </c>
    </row>
    <row r="59">
      <c r="A59" s="6" t="n"/>
      <c r="B59" s="7" t="n"/>
      <c r="C59" s="7" t="n"/>
      <c r="D59" s="7" t="n"/>
      <c r="E59" s="7" t="n"/>
      <c r="F59" s="8">
        <f>IF(A59="","",SUM(C59:E59))</f>
        <v/>
      </c>
      <c r="G59" s="8">
        <f>IF(A59="","",B59-F59)</f>
        <v/>
      </c>
      <c r="H59" s="8">
        <f>IF(A59="","",IF(H58="",StartCash+G59,H58+G59))</f>
        <v/>
      </c>
    </row>
    <row r="60">
      <c r="A60" s="6" t="n"/>
      <c r="B60" s="7" t="n"/>
      <c r="C60" s="7" t="n"/>
      <c r="D60" s="7" t="n"/>
      <c r="E60" s="7" t="n"/>
      <c r="F60" s="8">
        <f>IF(A60="","",SUM(C60:E60))</f>
        <v/>
      </c>
      <c r="G60" s="8">
        <f>IF(A60="","",B60-F60)</f>
        <v/>
      </c>
      <c r="H60" s="8">
        <f>IF(A60="","",IF(H59="",StartCash+G60,H59+G60))</f>
        <v/>
      </c>
    </row>
    <row r="61">
      <c r="A61" s="6" t="n"/>
      <c r="B61" s="7" t="n"/>
      <c r="C61" s="7" t="n"/>
      <c r="D61" s="7" t="n"/>
      <c r="E61" s="7" t="n"/>
      <c r="F61" s="8">
        <f>IF(A61="","",SUM(C61:E61))</f>
        <v/>
      </c>
      <c r="G61" s="8">
        <f>IF(A61="","",B61-F61)</f>
        <v/>
      </c>
      <c r="H61" s="8">
        <f>IF(A61="","",IF(H60="",StartCash+G61,H60+G61))</f>
        <v/>
      </c>
    </row>
    <row r="62">
      <c r="A62" s="6" t="n"/>
      <c r="B62" s="7" t="n"/>
      <c r="C62" s="7" t="n"/>
      <c r="D62" s="7" t="n"/>
      <c r="E62" s="7" t="n"/>
      <c r="F62" s="8">
        <f>IF(A62="","",SUM(C62:E62))</f>
        <v/>
      </c>
      <c r="G62" s="8">
        <f>IF(A62="","",B62-F62)</f>
        <v/>
      </c>
      <c r="H62" s="8">
        <f>IF(A62="","",IF(H61="",StartCash+G62,H61+G62))</f>
        <v/>
      </c>
    </row>
    <row r="63">
      <c r="A63" s="6" t="n"/>
      <c r="B63" s="7" t="n"/>
      <c r="C63" s="7" t="n"/>
      <c r="D63" s="7" t="n"/>
      <c r="E63" s="7" t="n"/>
      <c r="F63" s="8">
        <f>IF(A63="","",SUM(C63:E63))</f>
        <v/>
      </c>
      <c r="G63" s="8">
        <f>IF(A63="","",B63-F63)</f>
        <v/>
      </c>
      <c r="H63" s="8">
        <f>IF(A63="","",IF(H62="",StartCash+G63,H62+G63))</f>
        <v/>
      </c>
    </row>
    <row r="64">
      <c r="A64" s="6" t="n"/>
      <c r="B64" s="7" t="n"/>
      <c r="C64" s="7" t="n"/>
      <c r="D64" s="7" t="n"/>
      <c r="E64" s="7" t="n"/>
      <c r="F64" s="8">
        <f>IF(A64="","",SUM(C64:E64))</f>
        <v/>
      </c>
      <c r="G64" s="8">
        <f>IF(A64="","",B64-F64)</f>
        <v/>
      </c>
      <c r="H64" s="8">
        <f>IF(A64="","",IF(H63="",StartCash+G64,H63+G64))</f>
        <v/>
      </c>
    </row>
    <row r="65">
      <c r="A65" s="6" t="n"/>
      <c r="B65" s="7" t="n"/>
      <c r="C65" s="7" t="n"/>
      <c r="D65" s="7" t="n"/>
      <c r="E65" s="7" t="n"/>
      <c r="F65" s="8">
        <f>IF(A65="","",SUM(C65:E65))</f>
        <v/>
      </c>
      <c r="G65" s="8">
        <f>IF(A65="","",B65-F65)</f>
        <v/>
      </c>
      <c r="H65" s="8">
        <f>IF(A65="","",IF(H64="",StartCash+G65,H64+G65))</f>
        <v/>
      </c>
    </row>
    <row r="66">
      <c r="A66" s="6" t="n"/>
      <c r="B66" s="7" t="n"/>
      <c r="C66" s="7" t="n"/>
      <c r="D66" s="7" t="n"/>
      <c r="E66" s="7" t="n"/>
      <c r="F66" s="8">
        <f>IF(A66="","",SUM(C66:E66))</f>
        <v/>
      </c>
      <c r="G66" s="8">
        <f>IF(A66="","",B66-F66)</f>
        <v/>
      </c>
      <c r="H66" s="8">
        <f>IF(A66="","",IF(H65="",StartCash+G66,H65+G66))</f>
        <v/>
      </c>
    </row>
    <row r="67">
      <c r="A67" s="6" t="n"/>
      <c r="B67" s="7" t="n"/>
      <c r="C67" s="7" t="n"/>
      <c r="D67" s="7" t="n"/>
      <c r="E67" s="7" t="n"/>
      <c r="F67" s="8">
        <f>IF(A67="","",SUM(C67:E67))</f>
        <v/>
      </c>
      <c r="G67" s="8">
        <f>IF(A67="","",B67-F67)</f>
        <v/>
      </c>
      <c r="H67" s="8">
        <f>IF(A67="","",IF(H66="",StartCash+G67,H66+G67))</f>
        <v/>
      </c>
    </row>
    <row r="68">
      <c r="A68" s="6" t="n"/>
      <c r="B68" s="7" t="n"/>
      <c r="C68" s="7" t="n"/>
      <c r="D68" s="7" t="n"/>
      <c r="E68" s="7" t="n"/>
      <c r="F68" s="8">
        <f>IF(A68="","",SUM(C68:E68))</f>
        <v/>
      </c>
      <c r="G68" s="8">
        <f>IF(A68="","",B68-F68)</f>
        <v/>
      </c>
      <c r="H68" s="8">
        <f>IF(A68="","",IF(H67="",StartCash+G68,H67+G68))</f>
        <v/>
      </c>
    </row>
    <row r="69">
      <c r="A69" s="6" t="n"/>
      <c r="B69" s="7" t="n"/>
      <c r="C69" s="7" t="n"/>
      <c r="D69" s="7" t="n"/>
      <c r="E69" s="7" t="n"/>
      <c r="F69" s="8">
        <f>IF(A69="","",SUM(C69:E69))</f>
        <v/>
      </c>
      <c r="G69" s="8">
        <f>IF(A69="","",B69-F69)</f>
        <v/>
      </c>
      <c r="H69" s="8">
        <f>IF(A69="","",IF(H68="",StartCash+G69,H68+G69))</f>
        <v/>
      </c>
    </row>
    <row r="70">
      <c r="A70" s="6" t="n"/>
      <c r="B70" s="7" t="n"/>
      <c r="C70" s="7" t="n"/>
      <c r="D70" s="7" t="n"/>
      <c r="E70" s="7" t="n"/>
      <c r="F70" s="8">
        <f>IF(A70="","",SUM(C70:E70))</f>
        <v/>
      </c>
      <c r="G70" s="8">
        <f>IF(A70="","",B70-F70)</f>
        <v/>
      </c>
      <c r="H70" s="8">
        <f>IF(A70="","",IF(H69="",StartCash+G70,H69+G70))</f>
        <v/>
      </c>
    </row>
    <row r="71">
      <c r="A71" s="6" t="n"/>
      <c r="B71" s="7" t="n"/>
      <c r="C71" s="7" t="n"/>
      <c r="D71" s="7" t="n"/>
      <c r="E71" s="7" t="n"/>
      <c r="F71" s="8">
        <f>IF(A71="","",SUM(C71:E71))</f>
        <v/>
      </c>
      <c r="G71" s="8">
        <f>IF(A71="","",B71-F71)</f>
        <v/>
      </c>
      <c r="H71" s="8">
        <f>IF(A71="","",IF(H70="",StartCash+G71,H70+G71))</f>
        <v/>
      </c>
    </row>
    <row r="72">
      <c r="A72" s="6" t="n"/>
      <c r="B72" s="7" t="n"/>
      <c r="C72" s="7" t="n"/>
      <c r="D72" s="7" t="n"/>
      <c r="E72" s="7" t="n"/>
      <c r="F72" s="8">
        <f>IF(A72="","",SUM(C72:E72))</f>
        <v/>
      </c>
      <c r="G72" s="8">
        <f>IF(A72="","",B72-F72)</f>
        <v/>
      </c>
      <c r="H72" s="8">
        <f>IF(A72="","",IF(H71="",StartCash+G72,H71+G72))</f>
        <v/>
      </c>
    </row>
    <row r="73">
      <c r="A73" s="6" t="n"/>
      <c r="B73" s="7" t="n"/>
      <c r="C73" s="7" t="n"/>
      <c r="D73" s="7" t="n"/>
      <c r="E73" s="7" t="n"/>
      <c r="F73" s="8">
        <f>IF(A73="","",SUM(C73:E73))</f>
        <v/>
      </c>
      <c r="G73" s="8">
        <f>IF(A73="","",B73-F73)</f>
        <v/>
      </c>
      <c r="H73" s="8">
        <f>IF(A73="","",IF(H72="",StartCash+G73,H72+G73))</f>
        <v/>
      </c>
    </row>
    <row r="74">
      <c r="A74" s="6" t="n"/>
      <c r="B74" s="7" t="n"/>
      <c r="C74" s="7" t="n"/>
      <c r="D74" s="7" t="n"/>
      <c r="E74" s="7" t="n"/>
      <c r="F74" s="8">
        <f>IF(A74="","",SUM(C74:E74))</f>
        <v/>
      </c>
      <c r="G74" s="8">
        <f>IF(A74="","",B74-F74)</f>
        <v/>
      </c>
      <c r="H74" s="8">
        <f>IF(A74="","",IF(H73="",StartCash+G74,H73+G74))</f>
        <v/>
      </c>
    </row>
    <row r="75">
      <c r="A75" s="6" t="n"/>
      <c r="B75" s="7" t="n"/>
      <c r="C75" s="7" t="n"/>
      <c r="D75" s="7" t="n"/>
      <c r="E75" s="7" t="n"/>
      <c r="F75" s="8">
        <f>IF(A75="","",SUM(C75:E75))</f>
        <v/>
      </c>
      <c r="G75" s="8">
        <f>IF(A75="","",B75-F75)</f>
        <v/>
      </c>
      <c r="H75" s="8">
        <f>IF(A75="","",IF(H74="",StartCash+G75,H74+G75))</f>
        <v/>
      </c>
    </row>
    <row r="76">
      <c r="A76" s="6" t="n"/>
      <c r="B76" s="7" t="n"/>
      <c r="C76" s="7" t="n"/>
      <c r="D76" s="7" t="n"/>
      <c r="E76" s="7" t="n"/>
      <c r="F76" s="8">
        <f>IF(A76="","",SUM(C76:E76))</f>
        <v/>
      </c>
      <c r="G76" s="8">
        <f>IF(A76="","",B76-F76)</f>
        <v/>
      </c>
      <c r="H76" s="8">
        <f>IF(A76="","",IF(H75="",StartCash+G76,H75+G76))</f>
        <v/>
      </c>
    </row>
    <row r="77">
      <c r="A77" s="6" t="n"/>
      <c r="B77" s="7" t="n"/>
      <c r="C77" s="7" t="n"/>
      <c r="D77" s="7" t="n"/>
      <c r="E77" s="7" t="n"/>
      <c r="F77" s="8">
        <f>IF(A77="","",SUM(C77:E77))</f>
        <v/>
      </c>
      <c r="G77" s="8">
        <f>IF(A77="","",B77-F77)</f>
        <v/>
      </c>
      <c r="H77" s="8">
        <f>IF(A77="","",IF(H76="",StartCash+G77,H76+G77))</f>
        <v/>
      </c>
    </row>
    <row r="78">
      <c r="A78" s="6" t="n"/>
      <c r="B78" s="7" t="n"/>
      <c r="C78" s="7" t="n"/>
      <c r="D78" s="7" t="n"/>
      <c r="E78" s="7" t="n"/>
      <c r="F78" s="8">
        <f>IF(A78="","",SUM(C78:E78))</f>
        <v/>
      </c>
      <c r="G78" s="8">
        <f>IF(A78="","",B78-F78)</f>
        <v/>
      </c>
      <c r="H78" s="8">
        <f>IF(A78="","",IF(H77="",StartCash+G78,H77+G78))</f>
        <v/>
      </c>
    </row>
    <row r="79">
      <c r="A79" s="6" t="n"/>
      <c r="B79" s="7" t="n"/>
      <c r="C79" s="7" t="n"/>
      <c r="D79" s="7" t="n"/>
      <c r="E79" s="7" t="n"/>
      <c r="F79" s="8">
        <f>IF(A79="","",SUM(C79:E79))</f>
        <v/>
      </c>
      <c r="G79" s="8">
        <f>IF(A79="","",B79-F79)</f>
        <v/>
      </c>
      <c r="H79" s="8">
        <f>IF(A79="","",IF(H78="",StartCash+G79,H78+G79))</f>
        <v/>
      </c>
    </row>
    <row r="80">
      <c r="A80" s="6" t="n"/>
      <c r="B80" s="7" t="n"/>
      <c r="C80" s="7" t="n"/>
      <c r="D80" s="7" t="n"/>
      <c r="E80" s="7" t="n"/>
      <c r="F80" s="8">
        <f>IF(A80="","",SUM(C80:E80))</f>
        <v/>
      </c>
      <c r="G80" s="8">
        <f>IF(A80="","",B80-F80)</f>
        <v/>
      </c>
      <c r="H80" s="8">
        <f>IF(A80="","",IF(H79="",StartCash+G80,H79+G80))</f>
        <v/>
      </c>
    </row>
    <row r="81">
      <c r="A81" s="6" t="n"/>
      <c r="B81" s="7" t="n"/>
      <c r="C81" s="7" t="n"/>
      <c r="D81" s="7" t="n"/>
      <c r="E81" s="7" t="n"/>
      <c r="F81" s="8">
        <f>IF(A81="","",SUM(C81:E81))</f>
        <v/>
      </c>
      <c r="G81" s="8">
        <f>IF(A81="","",B81-F81)</f>
        <v/>
      </c>
      <c r="H81" s="8">
        <f>IF(A81="","",IF(H80="",StartCash+G81,H80+G81))</f>
        <v/>
      </c>
    </row>
    <row r="82">
      <c r="A82" s="6" t="n"/>
      <c r="B82" s="7" t="n"/>
      <c r="C82" s="7" t="n"/>
      <c r="D82" s="7" t="n"/>
      <c r="E82" s="7" t="n"/>
      <c r="F82" s="8">
        <f>IF(A82="","",SUM(C82:E82))</f>
        <v/>
      </c>
      <c r="G82" s="8">
        <f>IF(A82="","",B82-F82)</f>
        <v/>
      </c>
      <c r="H82" s="8">
        <f>IF(A82="","",IF(H81="",StartCash+G82,H81+G82))</f>
        <v/>
      </c>
    </row>
    <row r="83">
      <c r="A83" s="6" t="n"/>
      <c r="B83" s="7" t="n"/>
      <c r="C83" s="7" t="n"/>
      <c r="D83" s="7" t="n"/>
      <c r="E83" s="7" t="n"/>
      <c r="F83" s="8">
        <f>IF(A83="","",SUM(C83:E83))</f>
        <v/>
      </c>
      <c r="G83" s="8">
        <f>IF(A83="","",B83-F83)</f>
        <v/>
      </c>
      <c r="H83" s="8">
        <f>IF(A83="","",IF(H82="",StartCash+G83,H82+G83))</f>
        <v/>
      </c>
    </row>
    <row r="84">
      <c r="A84" s="6" t="n"/>
      <c r="B84" s="7" t="n"/>
      <c r="C84" s="7" t="n"/>
      <c r="D84" s="7" t="n"/>
      <c r="E84" s="7" t="n"/>
      <c r="F84" s="8">
        <f>IF(A84="","",SUM(C84:E84))</f>
        <v/>
      </c>
      <c r="G84" s="8">
        <f>IF(A84="","",B84-F84)</f>
        <v/>
      </c>
      <c r="H84" s="8">
        <f>IF(A84="","",IF(H83="",StartCash+G84,H83+G84))</f>
        <v/>
      </c>
    </row>
    <row r="85">
      <c r="A85" s="6" t="n"/>
      <c r="B85" s="7" t="n"/>
      <c r="C85" s="7" t="n"/>
      <c r="D85" s="7" t="n"/>
      <c r="E85" s="7" t="n"/>
      <c r="F85" s="8">
        <f>IF(A85="","",SUM(C85:E85))</f>
        <v/>
      </c>
      <c r="G85" s="8">
        <f>IF(A85="","",B85-F85)</f>
        <v/>
      </c>
      <c r="H85" s="8">
        <f>IF(A85="","",IF(H84="",StartCash+G85,H84+G85))</f>
        <v/>
      </c>
    </row>
    <row r="86">
      <c r="A86" s="6" t="n"/>
      <c r="B86" s="7" t="n"/>
      <c r="C86" s="7" t="n"/>
      <c r="D86" s="7" t="n"/>
      <c r="E86" s="7" t="n"/>
      <c r="F86" s="8">
        <f>IF(A86="","",SUM(C86:E86))</f>
        <v/>
      </c>
      <c r="G86" s="8">
        <f>IF(A86="","",B86-F86)</f>
        <v/>
      </c>
      <c r="H86" s="8">
        <f>IF(A86="","",IF(H85="",StartCash+G86,H85+G86))</f>
        <v/>
      </c>
    </row>
    <row r="87">
      <c r="A87" s="6" t="n"/>
      <c r="B87" s="7" t="n"/>
      <c r="C87" s="7" t="n"/>
      <c r="D87" s="7" t="n"/>
      <c r="E87" s="7" t="n"/>
      <c r="F87" s="8">
        <f>IF(A87="","",SUM(C87:E87))</f>
        <v/>
      </c>
      <c r="G87" s="8">
        <f>IF(A87="","",B87-F87)</f>
        <v/>
      </c>
      <c r="H87" s="8">
        <f>IF(A87="","",IF(H86="",StartCash+G87,H86+G87))</f>
        <v/>
      </c>
    </row>
    <row r="88">
      <c r="A88" s="6" t="n"/>
      <c r="B88" s="7" t="n"/>
      <c r="C88" s="7" t="n"/>
      <c r="D88" s="7" t="n"/>
      <c r="E88" s="7" t="n"/>
      <c r="F88" s="8">
        <f>IF(A88="","",SUM(C88:E88))</f>
        <v/>
      </c>
      <c r="G88" s="8">
        <f>IF(A88="","",B88-F88)</f>
        <v/>
      </c>
      <c r="H88" s="8">
        <f>IF(A88="","",IF(H87="",StartCash+G88,H87+G88))</f>
        <v/>
      </c>
    </row>
    <row r="89">
      <c r="A89" s="6" t="n"/>
      <c r="B89" s="7" t="n"/>
      <c r="C89" s="7" t="n"/>
      <c r="D89" s="7" t="n"/>
      <c r="E89" s="7" t="n"/>
      <c r="F89" s="8">
        <f>IF(A89="","",SUM(C89:E89))</f>
        <v/>
      </c>
      <c r="G89" s="8">
        <f>IF(A89="","",B89-F89)</f>
        <v/>
      </c>
      <c r="H89" s="8">
        <f>IF(A89="","",IF(H88="",StartCash+G89,H88+G89))</f>
        <v/>
      </c>
    </row>
    <row r="90">
      <c r="A90" s="6" t="n"/>
      <c r="B90" s="7" t="n"/>
      <c r="C90" s="7" t="n"/>
      <c r="D90" s="7" t="n"/>
      <c r="E90" s="7" t="n"/>
      <c r="F90" s="8">
        <f>IF(A90="","",SUM(C90:E90))</f>
        <v/>
      </c>
      <c r="G90" s="8">
        <f>IF(A90="","",B90-F90)</f>
        <v/>
      </c>
      <c r="H90" s="8">
        <f>IF(A90="","",IF(H89="",StartCash+G90,H89+G90))</f>
        <v/>
      </c>
    </row>
    <row r="91">
      <c r="A91" s="6" t="n"/>
      <c r="B91" s="7" t="n"/>
      <c r="C91" s="7" t="n"/>
      <c r="D91" s="7" t="n"/>
      <c r="E91" s="7" t="n"/>
      <c r="F91" s="8">
        <f>IF(A91="","",SUM(C91:E91))</f>
        <v/>
      </c>
      <c r="G91" s="8">
        <f>IF(A91="","",B91-F91)</f>
        <v/>
      </c>
      <c r="H91" s="8">
        <f>IF(A91="","",IF(H90="",StartCash+G91,H90+G91))</f>
        <v/>
      </c>
    </row>
    <row r="92">
      <c r="A92" s="6" t="n"/>
      <c r="B92" s="7" t="n"/>
      <c r="C92" s="7" t="n"/>
      <c r="D92" s="7" t="n"/>
      <c r="E92" s="7" t="n"/>
      <c r="F92" s="8">
        <f>IF(A92="","",SUM(C92:E92))</f>
        <v/>
      </c>
      <c r="G92" s="8">
        <f>IF(A92="","",B92-F92)</f>
        <v/>
      </c>
      <c r="H92" s="8">
        <f>IF(A92="","",IF(H91="",StartCash+G92,H91+G92))</f>
        <v/>
      </c>
    </row>
    <row r="93">
      <c r="A93" s="6" t="n"/>
      <c r="B93" s="7" t="n"/>
      <c r="C93" s="7" t="n"/>
      <c r="D93" s="7" t="n"/>
      <c r="E93" s="7" t="n"/>
      <c r="F93" s="8">
        <f>IF(A93="","",SUM(C93:E93))</f>
        <v/>
      </c>
      <c r="G93" s="8">
        <f>IF(A93="","",B93-F93)</f>
        <v/>
      </c>
      <c r="H93" s="8">
        <f>IF(A93="","",IF(H92="",StartCash+G93,H92+G93))</f>
        <v/>
      </c>
    </row>
    <row r="94">
      <c r="A94" s="6" t="n"/>
      <c r="B94" s="7" t="n"/>
      <c r="C94" s="7" t="n"/>
      <c r="D94" s="7" t="n"/>
      <c r="E94" s="7" t="n"/>
      <c r="F94" s="8">
        <f>IF(A94="","",SUM(C94:E94))</f>
        <v/>
      </c>
      <c r="G94" s="8">
        <f>IF(A94="","",B94-F94)</f>
        <v/>
      </c>
      <c r="H94" s="8">
        <f>IF(A94="","",IF(H93="",StartCash+G94,H93+G94))</f>
        <v/>
      </c>
    </row>
    <row r="95">
      <c r="A95" s="6" t="n"/>
      <c r="B95" s="7" t="n"/>
      <c r="C95" s="7" t="n"/>
      <c r="D95" s="7" t="n"/>
      <c r="E95" s="7" t="n"/>
      <c r="F95" s="8">
        <f>IF(A95="","",SUM(C95:E95))</f>
        <v/>
      </c>
      <c r="G95" s="8">
        <f>IF(A95="","",B95-F95)</f>
        <v/>
      </c>
      <c r="H95" s="8">
        <f>IF(A95="","",IF(H94="",StartCash+G95,H94+G95))</f>
        <v/>
      </c>
    </row>
    <row r="96">
      <c r="A96" s="6" t="n"/>
      <c r="B96" s="7" t="n"/>
      <c r="C96" s="7" t="n"/>
      <c r="D96" s="7" t="n"/>
      <c r="E96" s="7" t="n"/>
      <c r="F96" s="8">
        <f>IF(A96="","",SUM(C96:E96))</f>
        <v/>
      </c>
      <c r="G96" s="8">
        <f>IF(A96="","",B96-F96)</f>
        <v/>
      </c>
      <c r="H96" s="8">
        <f>IF(A96="","",IF(H95="",StartCash+G96,H95+G96))</f>
        <v/>
      </c>
    </row>
    <row r="97">
      <c r="A97" s="6" t="n"/>
      <c r="B97" s="7" t="n"/>
      <c r="C97" s="7" t="n"/>
      <c r="D97" s="7" t="n"/>
      <c r="E97" s="7" t="n"/>
      <c r="F97" s="8">
        <f>IF(A97="","",SUM(C97:E97))</f>
        <v/>
      </c>
      <c r="G97" s="8">
        <f>IF(A97="","",B97-F97)</f>
        <v/>
      </c>
      <c r="H97" s="8">
        <f>IF(A97="","",IF(H96="",StartCash+G97,H96+G97))</f>
        <v/>
      </c>
    </row>
    <row r="98">
      <c r="A98" s="6" t="n"/>
      <c r="B98" s="7" t="n"/>
      <c r="C98" s="7" t="n"/>
      <c r="D98" s="7" t="n"/>
      <c r="E98" s="7" t="n"/>
      <c r="F98" s="8">
        <f>IF(A98="","",SUM(C98:E98))</f>
        <v/>
      </c>
      <c r="G98" s="8">
        <f>IF(A98="","",B98-F98)</f>
        <v/>
      </c>
      <c r="H98" s="8">
        <f>IF(A98="","",IF(H97="",StartCash+G98,H97+G98))</f>
        <v/>
      </c>
    </row>
    <row r="99">
      <c r="A99" s="6" t="n"/>
      <c r="B99" s="7" t="n"/>
      <c r="C99" s="7" t="n"/>
      <c r="D99" s="7" t="n"/>
      <c r="E99" s="7" t="n"/>
      <c r="F99" s="8">
        <f>IF(A99="","",SUM(C99:E99))</f>
        <v/>
      </c>
      <c r="G99" s="8">
        <f>IF(A99="","",B99-F99)</f>
        <v/>
      </c>
      <c r="H99" s="8">
        <f>IF(A99="","",IF(H98="",StartCash+G99,H98+G99))</f>
        <v/>
      </c>
    </row>
    <row r="100">
      <c r="A100" s="6" t="n"/>
      <c r="B100" s="7" t="n"/>
      <c r="C100" s="7" t="n"/>
      <c r="D100" s="7" t="n"/>
      <c r="E100" s="7" t="n"/>
      <c r="F100" s="8">
        <f>IF(A100="","",SUM(C100:E100))</f>
        <v/>
      </c>
      <c r="G100" s="8">
        <f>IF(A100="","",B100-F100)</f>
        <v/>
      </c>
      <c r="H100" s="8">
        <f>IF(A100="","",IF(H99="",StartCash+G100,H99+G100))</f>
        <v/>
      </c>
    </row>
    <row r="101">
      <c r="A101" s="6" t="n"/>
      <c r="B101" s="7" t="n"/>
      <c r="C101" s="7" t="n"/>
      <c r="D101" s="7" t="n"/>
      <c r="E101" s="7" t="n"/>
      <c r="F101" s="8">
        <f>IF(A101="","",SUM(C101:E101))</f>
        <v/>
      </c>
      <c r="G101" s="8">
        <f>IF(A101="","",B101-F101)</f>
        <v/>
      </c>
      <c r="H101" s="8">
        <f>IF(A101="","",IF(H100="",StartCash+G101,H100+G101))</f>
        <v/>
      </c>
    </row>
    <row r="102">
      <c r="A102" s="6" t="n"/>
      <c r="B102" s="7" t="n"/>
      <c r="C102" s="7" t="n"/>
      <c r="D102" s="7" t="n"/>
      <c r="E102" s="7" t="n"/>
      <c r="F102" s="8">
        <f>IF(A102="","",SUM(C102:E102))</f>
        <v/>
      </c>
      <c r="G102" s="8">
        <f>IF(A102="","",B102-F102)</f>
        <v/>
      </c>
      <c r="H102" s="8">
        <f>IF(A102="","",IF(H101="",StartCash+G102,H101+G102))</f>
        <v/>
      </c>
    </row>
    <row r="103">
      <c r="A103" s="6" t="n"/>
      <c r="B103" s="7" t="n"/>
      <c r="C103" s="7" t="n"/>
      <c r="D103" s="7" t="n"/>
      <c r="E103" s="7" t="n"/>
      <c r="F103" s="8">
        <f>IF(A103="","",SUM(C103:E103))</f>
        <v/>
      </c>
      <c r="G103" s="8">
        <f>IF(A103="","",B103-F103)</f>
        <v/>
      </c>
      <c r="H103" s="8">
        <f>IF(A103="","",IF(H102="",StartCash+G103,H102+G103))</f>
        <v/>
      </c>
    </row>
    <row r="104">
      <c r="A104" s="6" t="n"/>
      <c r="B104" s="7" t="n"/>
      <c r="C104" s="7" t="n"/>
      <c r="D104" s="7" t="n"/>
      <c r="E104" s="7" t="n"/>
      <c r="F104" s="8">
        <f>IF(A104="","",SUM(C104:E104))</f>
        <v/>
      </c>
      <c r="G104" s="8">
        <f>IF(A104="","",B104-F104)</f>
        <v/>
      </c>
      <c r="H104" s="8">
        <f>IF(A104="","",IF(H103="",StartCash+G104,H103+G104))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  <col width="10" customWidth="1" min="4" max="4"/>
    <col width="23" customWidth="1" min="5" max="5"/>
    <col width="26" customWidth="1" min="6" max="6"/>
  </cols>
  <sheetData>
    <row r="1">
      <c r="A1" s="1" t="inlineStr">
        <is>
          <t>Odamlar bilan oldi-berdi</t>
        </is>
      </c>
    </row>
    <row r="2">
      <c r="A2" s="2" t="inlineStr">
        <is>
          <t>Berdim = siz bergan pul (odam sizga qarzdor). Oldim = siz olgan pul (qarz qoplandi yoki siz qarzdorsiz).</t>
        </is>
      </c>
    </row>
    <row r="3"/>
    <row r="4" ht="30" customHeight="1">
      <c r="A4" s="3" t="inlineStr">
        <is>
          <t>Sana</t>
        </is>
      </c>
      <c r="B4" s="3" t="inlineStr">
        <is>
          <t>Odam</t>
        </is>
      </c>
      <c r="C4" s="3" t="inlineStr">
        <is>
          <t>Berdim</t>
        </is>
      </c>
      <c r="D4" s="3" t="inlineStr">
        <is>
          <t>Oldim</t>
        </is>
      </c>
      <c r="E4" s="3" t="inlineStr">
        <is>
          <t>Izoh</t>
        </is>
      </c>
      <c r="F4" s="3" t="inlineStr">
        <is>
          <t>Qator_balans</t>
        </is>
      </c>
    </row>
    <row r="5">
      <c r="A5" s="6" t="n">
        <v>46235</v>
      </c>
      <c r="B5" s="4" t="inlineStr">
        <is>
          <t>Ali</t>
        </is>
      </c>
      <c r="C5" s="7" t="n">
        <v>200000</v>
      </c>
      <c r="D5" s="7" t="n">
        <v>0</v>
      </c>
      <c r="E5" s="4" t="inlineStr">
        <is>
          <t>Qarz berdim</t>
        </is>
      </c>
      <c r="F5" s="8">
        <f>D5-C5</f>
        <v/>
      </c>
    </row>
    <row r="6">
      <c r="A6" s="6" t="n">
        <v>46237</v>
      </c>
      <c r="B6" s="4" t="inlineStr">
        <is>
          <t>Vali</t>
        </is>
      </c>
      <c r="C6" s="7" t="n">
        <v>0</v>
      </c>
      <c r="D6" s="7" t="n">
        <v>150000</v>
      </c>
      <c r="E6" s="4" t="inlineStr">
        <is>
          <t>Oldingi qarz qoplandi</t>
        </is>
      </c>
      <c r="F6" s="8">
        <f>D6-C6</f>
        <v/>
      </c>
    </row>
    <row r="7">
      <c r="A7" s="6" t="n">
        <v>46238</v>
      </c>
      <c r="B7" s="4" t="inlineStr">
        <is>
          <t>Hasan</t>
        </is>
      </c>
      <c r="C7" s="7" t="n">
        <v>50000</v>
      </c>
      <c r="D7" s="7" t="n">
        <v>0</v>
      </c>
      <c r="E7" s="4" t="inlineStr">
        <is>
          <t>Vaqtincha</t>
        </is>
      </c>
      <c r="F7" s="8">
        <f>D7-C7</f>
        <v/>
      </c>
    </row>
    <row r="8">
      <c r="A8" s="6" t="n"/>
      <c r="B8" s="4" t="n"/>
      <c r="C8" s="7" t="n"/>
      <c r="D8" s="7" t="n"/>
      <c r="E8" s="4" t="n"/>
      <c r="F8" s="8">
        <f>IF(OR(B8="",AND(C8="",D8="")),"",D8-C8)</f>
        <v/>
      </c>
    </row>
    <row r="9">
      <c r="A9" s="6" t="n"/>
      <c r="B9" s="4" t="n"/>
      <c r="C9" s="7" t="n"/>
      <c r="D9" s="7" t="n"/>
      <c r="E9" s="4" t="n"/>
      <c r="F9" s="8">
        <f>IF(OR(B9="",AND(C9="",D9="")),"",D9-C9)</f>
        <v/>
      </c>
    </row>
    <row r="10">
      <c r="A10" s="6" t="n"/>
      <c r="B10" s="4" t="n"/>
      <c r="C10" s="7" t="n"/>
      <c r="D10" s="7" t="n"/>
      <c r="E10" s="4" t="n"/>
      <c r="F10" s="8">
        <f>IF(OR(B10="",AND(C10="",D10="")),"",D10-C10)</f>
        <v/>
      </c>
    </row>
    <row r="11">
      <c r="A11" s="6" t="n"/>
      <c r="B11" s="4" t="n"/>
      <c r="C11" s="7" t="n"/>
      <c r="D11" s="7" t="n"/>
      <c r="E11" s="4" t="n"/>
      <c r="F11" s="8">
        <f>IF(OR(B11="",AND(C11="",D11="")),"",D11-C11)</f>
        <v/>
      </c>
    </row>
    <row r="12">
      <c r="A12" s="6" t="n"/>
      <c r="B12" s="4" t="n"/>
      <c r="C12" s="7" t="n"/>
      <c r="D12" s="7" t="n"/>
      <c r="E12" s="4" t="n"/>
      <c r="F12" s="8">
        <f>IF(OR(B12="",AND(C12="",D12="")),"",D12-C12)</f>
        <v/>
      </c>
    </row>
    <row r="13">
      <c r="A13" s="6" t="n"/>
      <c r="B13" s="4" t="n"/>
      <c r="C13" s="7" t="n"/>
      <c r="D13" s="7" t="n"/>
      <c r="E13" s="4" t="n"/>
      <c r="F13" s="8">
        <f>IF(OR(B13="",AND(C13="",D13="")),"",D13-C13)</f>
        <v/>
      </c>
    </row>
    <row r="14">
      <c r="A14" s="6" t="n"/>
      <c r="B14" s="4" t="n"/>
      <c r="C14" s="7" t="n"/>
      <c r="D14" s="7" t="n"/>
      <c r="E14" s="4" t="n"/>
      <c r="F14" s="8">
        <f>IF(OR(B14="",AND(C14="",D14="")),"",D14-C14)</f>
        <v/>
      </c>
    </row>
    <row r="15">
      <c r="A15" s="6" t="n"/>
      <c r="B15" s="4" t="n"/>
      <c r="C15" s="7" t="n"/>
      <c r="D15" s="7" t="n"/>
      <c r="E15" s="4" t="n"/>
      <c r="F15" s="8">
        <f>IF(OR(B15="",AND(C15="",D15="")),"",D15-C15)</f>
        <v/>
      </c>
    </row>
    <row r="16">
      <c r="A16" s="6" t="n"/>
      <c r="B16" s="4" t="n"/>
      <c r="C16" s="7" t="n"/>
      <c r="D16" s="7" t="n"/>
      <c r="E16" s="4" t="n"/>
      <c r="F16" s="8">
        <f>IF(OR(B16="",AND(C16="",D16="")),"",D16-C16)</f>
        <v/>
      </c>
    </row>
    <row r="17">
      <c r="A17" s="6" t="n"/>
      <c r="B17" s="4" t="n"/>
      <c r="C17" s="7" t="n"/>
      <c r="D17" s="7" t="n"/>
      <c r="E17" s="4" t="n"/>
      <c r="F17" s="8">
        <f>IF(OR(B17="",AND(C17="",D17="")),"",D17-C17)</f>
        <v/>
      </c>
    </row>
    <row r="18">
      <c r="A18" s="6" t="n"/>
      <c r="B18" s="4" t="n"/>
      <c r="C18" s="7" t="n"/>
      <c r="D18" s="7" t="n"/>
      <c r="E18" s="4" t="n"/>
      <c r="F18" s="8">
        <f>IF(OR(B18="",AND(C18="",D18="")),"",D18-C18)</f>
        <v/>
      </c>
    </row>
    <row r="19">
      <c r="A19" s="6" t="n"/>
      <c r="B19" s="4" t="n"/>
      <c r="C19" s="7" t="n"/>
      <c r="D19" s="7" t="n"/>
      <c r="E19" s="4" t="n"/>
      <c r="F19" s="8">
        <f>IF(OR(B19="",AND(C19="",D19="")),"",D19-C19)</f>
        <v/>
      </c>
    </row>
    <row r="20">
      <c r="A20" s="6" t="n"/>
      <c r="B20" s="4" t="n"/>
      <c r="C20" s="7" t="n"/>
      <c r="D20" s="7" t="n"/>
      <c r="E20" s="4" t="n"/>
      <c r="F20" s="8">
        <f>IF(OR(B20="",AND(C20="",D20="")),"",D20-C20)</f>
        <v/>
      </c>
    </row>
    <row r="21">
      <c r="A21" s="6" t="n"/>
      <c r="B21" s="4" t="n"/>
      <c r="C21" s="7" t="n"/>
      <c r="D21" s="7" t="n"/>
      <c r="E21" s="4" t="n"/>
      <c r="F21" s="8">
        <f>IF(OR(B21="",AND(C21="",D21="")),"",D21-C21)</f>
        <v/>
      </c>
    </row>
    <row r="22">
      <c r="A22" s="6" t="n"/>
      <c r="B22" s="4" t="n"/>
      <c r="C22" s="7" t="n"/>
      <c r="D22" s="7" t="n"/>
      <c r="E22" s="4" t="n"/>
      <c r="F22" s="8">
        <f>IF(OR(B22="",AND(C22="",D22="")),"",D22-C22)</f>
        <v/>
      </c>
    </row>
    <row r="23">
      <c r="A23" s="6" t="n"/>
      <c r="B23" s="4" t="n"/>
      <c r="C23" s="7" t="n"/>
      <c r="D23" s="7" t="n"/>
      <c r="E23" s="4" t="n"/>
      <c r="F23" s="8">
        <f>IF(OR(B23="",AND(C23="",D23="")),"",D23-C23)</f>
        <v/>
      </c>
    </row>
    <row r="24">
      <c r="A24" s="6" t="n"/>
      <c r="B24" s="4" t="n"/>
      <c r="C24" s="7" t="n"/>
      <c r="D24" s="7" t="n"/>
      <c r="E24" s="4" t="n"/>
      <c r="F24" s="8">
        <f>IF(OR(B24="",AND(C24="",D24="")),"",D24-C24)</f>
        <v/>
      </c>
    </row>
    <row r="25">
      <c r="A25" s="6" t="n"/>
      <c r="B25" s="4" t="n"/>
      <c r="C25" s="7" t="n"/>
      <c r="D25" s="7" t="n"/>
      <c r="E25" s="4" t="n"/>
      <c r="F25" s="8">
        <f>IF(OR(B25="",AND(C25="",D25="")),"",D25-C25)</f>
        <v/>
      </c>
    </row>
    <row r="26">
      <c r="A26" s="6" t="n"/>
      <c r="B26" s="4" t="n"/>
      <c r="C26" s="7" t="n"/>
      <c r="D26" s="7" t="n"/>
      <c r="E26" s="4" t="n"/>
      <c r="F26" s="8">
        <f>IF(OR(B26="",AND(C26="",D26="")),"",D26-C26)</f>
        <v/>
      </c>
    </row>
    <row r="27">
      <c r="A27" s="6" t="n"/>
      <c r="B27" s="4" t="n"/>
      <c r="C27" s="7" t="n"/>
      <c r="D27" s="7" t="n"/>
      <c r="E27" s="4" t="n"/>
      <c r="F27" s="8">
        <f>IF(OR(B27="",AND(C27="",D27="")),"",D27-C27)</f>
        <v/>
      </c>
    </row>
    <row r="28">
      <c r="A28" s="6" t="n"/>
      <c r="B28" s="4" t="n"/>
      <c r="C28" s="7" t="n"/>
      <c r="D28" s="7" t="n"/>
      <c r="E28" s="4" t="n"/>
      <c r="F28" s="8">
        <f>IF(OR(B28="",AND(C28="",D28="")),"",D28-C28)</f>
        <v/>
      </c>
    </row>
    <row r="29">
      <c r="A29" s="6" t="n"/>
      <c r="B29" s="4" t="n"/>
      <c r="C29" s="7" t="n"/>
      <c r="D29" s="7" t="n"/>
      <c r="E29" s="4" t="n"/>
      <c r="F29" s="8">
        <f>IF(OR(B29="",AND(C29="",D29="")),"",D29-C29)</f>
        <v/>
      </c>
    </row>
    <row r="30">
      <c r="A30" s="6" t="n"/>
      <c r="B30" s="4" t="n"/>
      <c r="C30" s="7" t="n"/>
      <c r="D30" s="7" t="n"/>
      <c r="E30" s="4" t="n"/>
      <c r="F30" s="8">
        <f>IF(OR(B30="",AND(C30="",D30="")),"",D30-C30)</f>
        <v/>
      </c>
    </row>
    <row r="31">
      <c r="A31" s="6" t="n"/>
      <c r="B31" s="4" t="n"/>
      <c r="C31" s="7" t="n"/>
      <c r="D31" s="7" t="n"/>
      <c r="E31" s="4" t="n"/>
      <c r="F31" s="8">
        <f>IF(OR(B31="",AND(C31="",D31="")),"",D31-C31)</f>
        <v/>
      </c>
    </row>
    <row r="32">
      <c r="A32" s="6" t="n"/>
      <c r="B32" s="4" t="n"/>
      <c r="C32" s="7" t="n"/>
      <c r="D32" s="7" t="n"/>
      <c r="E32" s="4" t="n"/>
      <c r="F32" s="8">
        <f>IF(OR(B32="",AND(C32="",D32="")),"",D32-C32)</f>
        <v/>
      </c>
    </row>
    <row r="33">
      <c r="A33" s="6" t="n"/>
      <c r="B33" s="4" t="n"/>
      <c r="C33" s="7" t="n"/>
      <c r="D33" s="7" t="n"/>
      <c r="E33" s="4" t="n"/>
      <c r="F33" s="8">
        <f>IF(OR(B33="",AND(C33="",D33="")),"",D33-C33)</f>
        <v/>
      </c>
    </row>
    <row r="34">
      <c r="A34" s="6" t="n"/>
      <c r="B34" s="4" t="n"/>
      <c r="C34" s="7" t="n"/>
      <c r="D34" s="7" t="n"/>
      <c r="E34" s="4" t="n"/>
      <c r="F34" s="8">
        <f>IF(OR(B34="",AND(C34="",D34="")),"",D34-C34)</f>
        <v/>
      </c>
    </row>
    <row r="35">
      <c r="A35" s="6" t="n"/>
      <c r="B35" s="4" t="n"/>
      <c r="C35" s="7" t="n"/>
      <c r="D35" s="7" t="n"/>
      <c r="E35" s="4" t="n"/>
      <c r="F35" s="8">
        <f>IF(OR(B35="",AND(C35="",D35="")),"",D35-C35)</f>
        <v/>
      </c>
    </row>
    <row r="36">
      <c r="A36" s="6" t="n"/>
      <c r="B36" s="4" t="n"/>
      <c r="C36" s="7" t="n"/>
      <c r="D36" s="7" t="n"/>
      <c r="E36" s="4" t="n"/>
      <c r="F36" s="8">
        <f>IF(OR(B36="",AND(C36="",D36="")),"",D36-C36)</f>
        <v/>
      </c>
    </row>
    <row r="37">
      <c r="A37" s="6" t="n"/>
      <c r="B37" s="4" t="n"/>
      <c r="C37" s="7" t="n"/>
      <c r="D37" s="7" t="n"/>
      <c r="E37" s="4" t="n"/>
      <c r="F37" s="8">
        <f>IF(OR(B37="",AND(C37="",D37="")),"",D37-C37)</f>
        <v/>
      </c>
    </row>
    <row r="38">
      <c r="A38" s="6" t="n"/>
      <c r="B38" s="4" t="n"/>
      <c r="C38" s="7" t="n"/>
      <c r="D38" s="7" t="n"/>
      <c r="E38" s="4" t="n"/>
      <c r="F38" s="8">
        <f>IF(OR(B38="",AND(C38="",D38="")),"",D38-C38)</f>
        <v/>
      </c>
    </row>
    <row r="39">
      <c r="A39" s="6" t="n"/>
      <c r="B39" s="4" t="n"/>
      <c r="C39" s="7" t="n"/>
      <c r="D39" s="7" t="n"/>
      <c r="E39" s="4" t="n"/>
      <c r="F39" s="8">
        <f>IF(OR(B39="",AND(C39="",D39="")),"",D39-C39)</f>
        <v/>
      </c>
    </row>
    <row r="40">
      <c r="A40" s="6" t="n"/>
      <c r="B40" s="4" t="n"/>
      <c r="C40" s="7" t="n"/>
      <c r="D40" s="7" t="n"/>
      <c r="E40" s="4" t="n"/>
      <c r="F40" s="8">
        <f>IF(OR(B40="",AND(C40="",D40="")),"",D40-C40)</f>
        <v/>
      </c>
    </row>
    <row r="41">
      <c r="A41" s="6" t="n"/>
      <c r="B41" s="4" t="n"/>
      <c r="C41" s="7" t="n"/>
      <c r="D41" s="7" t="n"/>
      <c r="E41" s="4" t="n"/>
      <c r="F41" s="8">
        <f>IF(OR(B41="",AND(C41="",D41="")),"",D41-C41)</f>
        <v/>
      </c>
    </row>
    <row r="42">
      <c r="A42" s="6" t="n"/>
      <c r="B42" s="4" t="n"/>
      <c r="C42" s="7" t="n"/>
      <c r="D42" s="7" t="n"/>
      <c r="E42" s="4" t="n"/>
      <c r="F42" s="8">
        <f>IF(OR(B42="",AND(C42="",D42="")),"",D42-C42)</f>
        <v/>
      </c>
    </row>
    <row r="43">
      <c r="A43" s="6" t="n"/>
      <c r="B43" s="4" t="n"/>
      <c r="C43" s="7" t="n"/>
      <c r="D43" s="7" t="n"/>
      <c r="E43" s="4" t="n"/>
      <c r="F43" s="8">
        <f>IF(OR(B43="",AND(C43="",D43="")),"",D43-C43)</f>
        <v/>
      </c>
    </row>
    <row r="44">
      <c r="A44" s="6" t="n"/>
      <c r="B44" s="4" t="n"/>
      <c r="C44" s="7" t="n"/>
      <c r="D44" s="7" t="n"/>
      <c r="E44" s="4" t="n"/>
      <c r="F44" s="8">
        <f>IF(OR(B44="",AND(C44="",D44="")),"",D44-C44)</f>
        <v/>
      </c>
    </row>
    <row r="45">
      <c r="A45" s="6" t="n"/>
      <c r="B45" s="4" t="n"/>
      <c r="C45" s="7" t="n"/>
      <c r="D45" s="7" t="n"/>
      <c r="E45" s="4" t="n"/>
      <c r="F45" s="8">
        <f>IF(OR(B45="",AND(C45="",D45="")),"",D45-C45)</f>
        <v/>
      </c>
    </row>
    <row r="46">
      <c r="A46" s="6" t="n"/>
      <c r="B46" s="4" t="n"/>
      <c r="C46" s="7" t="n"/>
      <c r="D46" s="7" t="n"/>
      <c r="E46" s="4" t="n"/>
      <c r="F46" s="8">
        <f>IF(OR(B46="",AND(C46="",D46="")),"",D46-C46)</f>
        <v/>
      </c>
    </row>
    <row r="47">
      <c r="A47" s="6" t="n"/>
      <c r="B47" s="4" t="n"/>
      <c r="C47" s="7" t="n"/>
      <c r="D47" s="7" t="n"/>
      <c r="E47" s="4" t="n"/>
      <c r="F47" s="8">
        <f>IF(OR(B47="",AND(C47="",D47="")),"",D47-C47)</f>
        <v/>
      </c>
    </row>
    <row r="48">
      <c r="A48" s="6" t="n"/>
      <c r="B48" s="4" t="n"/>
      <c r="C48" s="7" t="n"/>
      <c r="D48" s="7" t="n"/>
      <c r="E48" s="4" t="n"/>
      <c r="F48" s="8">
        <f>IF(OR(B48="",AND(C48="",D48="")),"",D48-C48)</f>
        <v/>
      </c>
    </row>
    <row r="49">
      <c r="A49" s="6" t="n"/>
      <c r="B49" s="4" t="n"/>
      <c r="C49" s="7" t="n"/>
      <c r="D49" s="7" t="n"/>
      <c r="E49" s="4" t="n"/>
      <c r="F49" s="8">
        <f>IF(OR(B49="",AND(C49="",D49="")),"",D49-C49)</f>
        <v/>
      </c>
    </row>
    <row r="50">
      <c r="A50" s="6" t="n"/>
      <c r="B50" s="4" t="n"/>
      <c r="C50" s="7" t="n"/>
      <c r="D50" s="7" t="n"/>
      <c r="E50" s="4" t="n"/>
      <c r="F50" s="8">
        <f>IF(OR(B50="",AND(C50="",D50="")),"",D50-C50)</f>
        <v/>
      </c>
    </row>
    <row r="51">
      <c r="A51" s="6" t="n"/>
      <c r="B51" s="4" t="n"/>
      <c r="C51" s="7" t="n"/>
      <c r="D51" s="7" t="n"/>
      <c r="E51" s="4" t="n"/>
      <c r="F51" s="8">
        <f>IF(OR(B51="",AND(C51="",D51="")),"",D51-C51)</f>
        <v/>
      </c>
    </row>
    <row r="52">
      <c r="A52" s="6" t="n"/>
      <c r="B52" s="4" t="n"/>
      <c r="C52" s="7" t="n"/>
      <c r="D52" s="7" t="n"/>
      <c r="E52" s="4" t="n"/>
      <c r="F52" s="8">
        <f>IF(OR(B52="",AND(C52="",D52="")),"",D52-C52)</f>
        <v/>
      </c>
    </row>
    <row r="53">
      <c r="A53" s="6" t="n"/>
      <c r="B53" s="4" t="n"/>
      <c r="C53" s="7" t="n"/>
      <c r="D53" s="7" t="n"/>
      <c r="E53" s="4" t="n"/>
      <c r="F53" s="8">
        <f>IF(OR(B53="",AND(C53="",D53="")),"",D53-C53)</f>
        <v/>
      </c>
    </row>
    <row r="54">
      <c r="A54" s="6" t="n"/>
      <c r="B54" s="4" t="n"/>
      <c r="C54" s="7" t="n"/>
      <c r="D54" s="7" t="n"/>
      <c r="E54" s="4" t="n"/>
      <c r="F54" s="8">
        <f>IF(OR(B54="",AND(C54="",D54="")),"",D54-C54)</f>
        <v/>
      </c>
    </row>
    <row r="55">
      <c r="A55" s="6" t="n"/>
      <c r="B55" s="4" t="n"/>
      <c r="C55" s="7" t="n"/>
      <c r="D55" s="7" t="n"/>
      <c r="E55" s="4" t="n"/>
      <c r="F55" s="8">
        <f>IF(OR(B55="",AND(C55="",D55="")),"",D55-C55)</f>
        <v/>
      </c>
    </row>
    <row r="56">
      <c r="A56" s="6" t="n"/>
      <c r="B56" s="4" t="n"/>
      <c r="C56" s="7" t="n"/>
      <c r="D56" s="7" t="n"/>
      <c r="E56" s="4" t="n"/>
      <c r="F56" s="8">
        <f>IF(OR(B56="",AND(C56="",D56="")),"",D56-C56)</f>
        <v/>
      </c>
    </row>
    <row r="57">
      <c r="A57" s="6" t="n"/>
      <c r="B57" s="4" t="n"/>
      <c r="C57" s="7" t="n"/>
      <c r="D57" s="7" t="n"/>
      <c r="E57" s="4" t="n"/>
      <c r="F57" s="8">
        <f>IF(OR(B57="",AND(C57="",D57="")),"",D57-C57)</f>
        <v/>
      </c>
    </row>
    <row r="58">
      <c r="A58" s="6" t="n"/>
      <c r="B58" s="4" t="n"/>
      <c r="C58" s="7" t="n"/>
      <c r="D58" s="7" t="n"/>
      <c r="E58" s="4" t="n"/>
      <c r="F58" s="8">
        <f>IF(OR(B58="",AND(C58="",D58="")),"",D58-C58)</f>
        <v/>
      </c>
    </row>
    <row r="59">
      <c r="A59" s="6" t="n"/>
      <c r="B59" s="4" t="n"/>
      <c r="C59" s="7" t="n"/>
      <c r="D59" s="7" t="n"/>
      <c r="E59" s="4" t="n"/>
      <c r="F59" s="8">
        <f>IF(OR(B59="",AND(C59="",D59="")),"",D59-C59)</f>
        <v/>
      </c>
    </row>
    <row r="60">
      <c r="A60" s="6" t="n"/>
      <c r="B60" s="4" t="n"/>
      <c r="C60" s="7" t="n"/>
      <c r="D60" s="7" t="n"/>
      <c r="E60" s="4" t="n"/>
      <c r="F60" s="8">
        <f>IF(OR(B60="",AND(C60="",D60="")),"",D60-C60)</f>
        <v/>
      </c>
    </row>
    <row r="61">
      <c r="A61" s="6" t="n"/>
      <c r="B61" s="4" t="n"/>
      <c r="C61" s="7" t="n"/>
      <c r="D61" s="7" t="n"/>
      <c r="E61" s="4" t="n"/>
      <c r="F61" s="8">
        <f>IF(OR(B61="",AND(C61="",D61="")),"",D61-C61)</f>
        <v/>
      </c>
    </row>
    <row r="62">
      <c r="A62" s="6" t="n"/>
      <c r="B62" s="4" t="n"/>
      <c r="C62" s="7" t="n"/>
      <c r="D62" s="7" t="n"/>
      <c r="E62" s="4" t="n"/>
      <c r="F62" s="8">
        <f>IF(OR(B62="",AND(C62="",D62="")),"",D62-C62)</f>
        <v/>
      </c>
    </row>
    <row r="63">
      <c r="A63" s="6" t="n"/>
      <c r="B63" s="4" t="n"/>
      <c r="C63" s="7" t="n"/>
      <c r="D63" s="7" t="n"/>
      <c r="E63" s="4" t="n"/>
      <c r="F63" s="8">
        <f>IF(OR(B63="",AND(C63="",D63="")),"",D63-C63)</f>
        <v/>
      </c>
    </row>
    <row r="64">
      <c r="A64" s="6" t="n"/>
      <c r="B64" s="4" t="n"/>
      <c r="C64" s="7" t="n"/>
      <c r="D64" s="7" t="n"/>
      <c r="E64" s="4" t="n"/>
      <c r="F64" s="8">
        <f>IF(OR(B64="",AND(C64="",D64="")),"",D64-C64)</f>
        <v/>
      </c>
    </row>
    <row r="65">
      <c r="A65" s="6" t="n"/>
      <c r="B65" s="4" t="n"/>
      <c r="C65" s="7" t="n"/>
      <c r="D65" s="7" t="n"/>
      <c r="E65" s="4" t="n"/>
      <c r="F65" s="8">
        <f>IF(OR(B65="",AND(C65="",D65="")),"",D65-C65)</f>
        <v/>
      </c>
    </row>
    <row r="66">
      <c r="A66" s="6" t="n"/>
      <c r="B66" s="4" t="n"/>
      <c r="C66" s="7" t="n"/>
      <c r="D66" s="7" t="n"/>
      <c r="E66" s="4" t="n"/>
      <c r="F66" s="8">
        <f>IF(OR(B66="",AND(C66="",D66="")),"",D66-C66)</f>
        <v/>
      </c>
    </row>
    <row r="67">
      <c r="A67" s="6" t="n"/>
      <c r="B67" s="4" t="n"/>
      <c r="C67" s="7" t="n"/>
      <c r="D67" s="7" t="n"/>
      <c r="E67" s="4" t="n"/>
      <c r="F67" s="8">
        <f>IF(OR(B67="",AND(C67="",D67="")),"",D67-C67)</f>
        <v/>
      </c>
    </row>
    <row r="68">
      <c r="A68" s="6" t="n"/>
      <c r="B68" s="4" t="n"/>
      <c r="C68" s="7" t="n"/>
      <c r="D68" s="7" t="n"/>
      <c r="E68" s="4" t="n"/>
      <c r="F68" s="8">
        <f>IF(OR(B68="",AND(C68="",D68="")),"",D68-C68)</f>
        <v/>
      </c>
    </row>
    <row r="69">
      <c r="A69" s="6" t="n"/>
      <c r="B69" s="4" t="n"/>
      <c r="C69" s="7" t="n"/>
      <c r="D69" s="7" t="n"/>
      <c r="E69" s="4" t="n"/>
      <c r="F69" s="8">
        <f>IF(OR(B69="",AND(C69="",D69="")),"",D69-C69)</f>
        <v/>
      </c>
    </row>
    <row r="70">
      <c r="A70" s="6" t="n"/>
      <c r="B70" s="4" t="n"/>
      <c r="C70" s="7" t="n"/>
      <c r="D70" s="7" t="n"/>
      <c r="E70" s="4" t="n"/>
      <c r="F70" s="8">
        <f>IF(OR(B70="",AND(C70="",D70="")),"",D70-C70)</f>
        <v/>
      </c>
    </row>
    <row r="71">
      <c r="A71" s="6" t="n"/>
      <c r="B71" s="4" t="n"/>
      <c r="C71" s="7" t="n"/>
      <c r="D71" s="7" t="n"/>
      <c r="E71" s="4" t="n"/>
      <c r="F71" s="8">
        <f>IF(OR(B71="",AND(C71="",D71="")),"",D71-C71)</f>
        <v/>
      </c>
    </row>
    <row r="72">
      <c r="A72" s="6" t="n"/>
      <c r="B72" s="4" t="n"/>
      <c r="C72" s="7" t="n"/>
      <c r="D72" s="7" t="n"/>
      <c r="E72" s="4" t="n"/>
      <c r="F72" s="8">
        <f>IF(OR(B72="",AND(C72="",D72="")),"",D72-C72)</f>
        <v/>
      </c>
    </row>
    <row r="73">
      <c r="A73" s="6" t="n"/>
      <c r="B73" s="4" t="n"/>
      <c r="C73" s="7" t="n"/>
      <c r="D73" s="7" t="n"/>
      <c r="E73" s="4" t="n"/>
      <c r="F73" s="8">
        <f>IF(OR(B73="",AND(C73="",D73="")),"",D73-C73)</f>
        <v/>
      </c>
    </row>
    <row r="74">
      <c r="A74" s="6" t="n"/>
      <c r="B74" s="4" t="n"/>
      <c r="C74" s="7" t="n"/>
      <c r="D74" s="7" t="n"/>
      <c r="E74" s="4" t="n"/>
      <c r="F74" s="8">
        <f>IF(OR(B74="",AND(C74="",D74="")),"",D74-C74)</f>
        <v/>
      </c>
    </row>
    <row r="75">
      <c r="A75" s="6" t="n"/>
      <c r="B75" s="4" t="n"/>
      <c r="C75" s="7" t="n"/>
      <c r="D75" s="7" t="n"/>
      <c r="E75" s="4" t="n"/>
      <c r="F75" s="8">
        <f>IF(OR(B75="",AND(C75="",D75="")),"",D75-C75)</f>
        <v/>
      </c>
    </row>
    <row r="76">
      <c r="A76" s="6" t="n"/>
      <c r="B76" s="4" t="n"/>
      <c r="C76" s="7" t="n"/>
      <c r="D76" s="7" t="n"/>
      <c r="E76" s="4" t="n"/>
      <c r="F76" s="8">
        <f>IF(OR(B76="",AND(C76="",D76="")),"",D76-C76)</f>
        <v/>
      </c>
    </row>
    <row r="77">
      <c r="A77" s="6" t="n"/>
      <c r="B77" s="4" t="n"/>
      <c r="C77" s="7" t="n"/>
      <c r="D77" s="7" t="n"/>
      <c r="E77" s="4" t="n"/>
      <c r="F77" s="8">
        <f>IF(OR(B77="",AND(C77="",D77="")),"",D77-C77)</f>
        <v/>
      </c>
    </row>
    <row r="78">
      <c r="A78" s="6" t="n"/>
      <c r="B78" s="4" t="n"/>
      <c r="C78" s="7" t="n"/>
      <c r="D78" s="7" t="n"/>
      <c r="E78" s="4" t="n"/>
      <c r="F78" s="8">
        <f>IF(OR(B78="",AND(C78="",D78="")),"",D78-C78)</f>
        <v/>
      </c>
    </row>
    <row r="79">
      <c r="A79" s="6" t="n"/>
      <c r="B79" s="4" t="n"/>
      <c r="C79" s="7" t="n"/>
      <c r="D79" s="7" t="n"/>
      <c r="E79" s="4" t="n"/>
      <c r="F79" s="8">
        <f>IF(OR(B79="",AND(C79="",D79="")),"",D79-C79)</f>
        <v/>
      </c>
    </row>
    <row r="80">
      <c r="A80" s="6" t="n"/>
      <c r="B80" s="4" t="n"/>
      <c r="C80" s="7" t="n"/>
      <c r="D80" s="7" t="n"/>
      <c r="E80" s="4" t="n"/>
      <c r="F80" s="8">
        <f>IF(OR(B80="",AND(C80="",D80="")),"",D80-C80)</f>
        <v/>
      </c>
    </row>
    <row r="81">
      <c r="A81" s="6" t="n"/>
      <c r="B81" s="4" t="n"/>
      <c r="C81" s="7" t="n"/>
      <c r="D81" s="7" t="n"/>
      <c r="E81" s="4" t="n"/>
      <c r="F81" s="8">
        <f>IF(OR(B81="",AND(C81="",D81="")),"",D81-C81)</f>
        <v/>
      </c>
    </row>
    <row r="82">
      <c r="A82" s="6" t="n"/>
      <c r="B82" s="4" t="n"/>
      <c r="C82" s="7" t="n"/>
      <c r="D82" s="7" t="n"/>
      <c r="E82" s="4" t="n"/>
      <c r="F82" s="8">
        <f>IF(OR(B82="",AND(C82="",D82="")),"",D82-C82)</f>
        <v/>
      </c>
    </row>
    <row r="83">
      <c r="A83" s="6" t="n"/>
      <c r="B83" s="4" t="n"/>
      <c r="C83" s="7" t="n"/>
      <c r="D83" s="7" t="n"/>
      <c r="E83" s="4" t="n"/>
      <c r="F83" s="8">
        <f>IF(OR(B83="",AND(C83="",D83="")),"",D83-C83)</f>
        <v/>
      </c>
    </row>
    <row r="84">
      <c r="A84" s="6" t="n"/>
      <c r="B84" s="4" t="n"/>
      <c r="C84" s="7" t="n"/>
      <c r="D84" s="7" t="n"/>
      <c r="E84" s="4" t="n"/>
      <c r="F84" s="8">
        <f>IF(OR(B84="",AND(C84="",D84="")),"",D84-C84)</f>
        <v/>
      </c>
    </row>
    <row r="85">
      <c r="A85" s="6" t="n"/>
      <c r="B85" s="4" t="n"/>
      <c r="C85" s="7" t="n"/>
      <c r="D85" s="7" t="n"/>
      <c r="E85" s="4" t="n"/>
      <c r="F85" s="8">
        <f>IF(OR(B85="",AND(C85="",D85="")),"",D85-C85)</f>
        <v/>
      </c>
    </row>
    <row r="86">
      <c r="A86" s="6" t="n"/>
      <c r="B86" s="4" t="n"/>
      <c r="C86" s="7" t="n"/>
      <c r="D86" s="7" t="n"/>
      <c r="E86" s="4" t="n"/>
      <c r="F86" s="8">
        <f>IF(OR(B86="",AND(C86="",D86="")),"",D86-C86)</f>
        <v/>
      </c>
    </row>
    <row r="87">
      <c r="A87" s="6" t="n"/>
      <c r="B87" s="4" t="n"/>
      <c r="C87" s="7" t="n"/>
      <c r="D87" s="7" t="n"/>
      <c r="E87" s="4" t="n"/>
      <c r="F87" s="8">
        <f>IF(OR(B87="",AND(C87="",D87="")),"",D87-C87)</f>
        <v/>
      </c>
    </row>
    <row r="88">
      <c r="A88" s="6" t="n"/>
      <c r="B88" s="4" t="n"/>
      <c r="C88" s="7" t="n"/>
      <c r="D88" s="7" t="n"/>
      <c r="E88" s="4" t="n"/>
      <c r="F88" s="8">
        <f>IF(OR(B88="",AND(C88="",D88="")),"",D88-C88)</f>
        <v/>
      </c>
    </row>
    <row r="89">
      <c r="A89" s="6" t="n"/>
      <c r="B89" s="4" t="n"/>
      <c r="C89" s="7" t="n"/>
      <c r="D89" s="7" t="n"/>
      <c r="E89" s="4" t="n"/>
      <c r="F89" s="8">
        <f>IF(OR(B89="",AND(C89="",D89="")),"",D89-C89)</f>
        <v/>
      </c>
    </row>
    <row r="90">
      <c r="A90" s="6" t="n"/>
      <c r="B90" s="4" t="n"/>
      <c r="C90" s="7" t="n"/>
      <c r="D90" s="7" t="n"/>
      <c r="E90" s="4" t="n"/>
      <c r="F90" s="8">
        <f>IF(OR(B90="",AND(C90="",D90="")),"",D90-C90)</f>
        <v/>
      </c>
    </row>
    <row r="91">
      <c r="A91" s="6" t="n"/>
      <c r="B91" s="4" t="n"/>
      <c r="C91" s="7" t="n"/>
      <c r="D91" s="7" t="n"/>
      <c r="E91" s="4" t="n"/>
      <c r="F91" s="8">
        <f>IF(OR(B91="",AND(C91="",D91="")),"",D91-C91)</f>
        <v/>
      </c>
    </row>
    <row r="92">
      <c r="A92" s="6" t="n"/>
      <c r="B92" s="4" t="n"/>
      <c r="C92" s="7" t="n"/>
      <c r="D92" s="7" t="n"/>
      <c r="E92" s="4" t="n"/>
      <c r="F92" s="8">
        <f>IF(OR(B92="",AND(C92="",D92="")),"",D92-C92)</f>
        <v/>
      </c>
    </row>
    <row r="93">
      <c r="A93" s="6" t="n"/>
      <c r="B93" s="4" t="n"/>
      <c r="C93" s="7" t="n"/>
      <c r="D93" s="7" t="n"/>
      <c r="E93" s="4" t="n"/>
      <c r="F93" s="8">
        <f>IF(OR(B93="",AND(C93="",D93="")),"",D93-C93)</f>
        <v/>
      </c>
    </row>
    <row r="94">
      <c r="A94" s="6" t="n"/>
      <c r="B94" s="4" t="n"/>
      <c r="C94" s="7" t="n"/>
      <c r="D94" s="7" t="n"/>
      <c r="E94" s="4" t="n"/>
      <c r="F94" s="8">
        <f>IF(OR(B94="",AND(C94="",D94="")),"",D94-C94)</f>
        <v/>
      </c>
    </row>
    <row r="95">
      <c r="A95" s="6" t="n"/>
      <c r="B95" s="4" t="n"/>
      <c r="C95" s="7" t="n"/>
      <c r="D95" s="7" t="n"/>
      <c r="E95" s="4" t="n"/>
      <c r="F95" s="8">
        <f>IF(OR(B95="",AND(C95="",D95="")),"",D95-C95)</f>
        <v/>
      </c>
    </row>
    <row r="96">
      <c r="A96" s="6" t="n"/>
      <c r="B96" s="4" t="n"/>
      <c r="C96" s="7" t="n"/>
      <c r="D96" s="7" t="n"/>
      <c r="E96" s="4" t="n"/>
      <c r="F96" s="8">
        <f>IF(OR(B96="",AND(C96="",D96="")),"",D96-C96)</f>
        <v/>
      </c>
    </row>
    <row r="97">
      <c r="A97" s="6" t="n"/>
      <c r="B97" s="4" t="n"/>
      <c r="C97" s="7" t="n"/>
      <c r="D97" s="7" t="n"/>
      <c r="E97" s="4" t="n"/>
      <c r="F97" s="8">
        <f>IF(OR(B97="",AND(C97="",D97="")),"",D97-C97)</f>
        <v/>
      </c>
    </row>
    <row r="98">
      <c r="A98" s="6" t="n"/>
      <c r="B98" s="4" t="n"/>
      <c r="C98" s="7" t="n"/>
      <c r="D98" s="7" t="n"/>
      <c r="E98" s="4" t="n"/>
      <c r="F98" s="8">
        <f>IF(OR(B98="",AND(C98="",D98="")),"",D98-C98)</f>
        <v/>
      </c>
    </row>
    <row r="99">
      <c r="A99" s="6" t="n"/>
      <c r="B99" s="4" t="n"/>
      <c r="C99" s="7" t="n"/>
      <c r="D99" s="7" t="n"/>
      <c r="E99" s="4" t="n"/>
      <c r="F99" s="8">
        <f>IF(OR(B99="",AND(C99="",D99="")),"",D99-C99)</f>
        <v/>
      </c>
    </row>
    <row r="100">
      <c r="A100" s="6" t="n"/>
      <c r="B100" s="4" t="n"/>
      <c r="C100" s="7" t="n"/>
      <c r="D100" s="7" t="n"/>
      <c r="E100" s="4" t="n"/>
      <c r="F100" s="8">
        <f>IF(OR(B100="",AND(C100="",D100="")),"",D100-C100)</f>
        <v/>
      </c>
    </row>
    <row r="101">
      <c r="A101" s="6" t="n"/>
      <c r="B101" s="4" t="n"/>
      <c r="C101" s="7" t="n"/>
      <c r="D101" s="7" t="n"/>
      <c r="E101" s="4" t="n"/>
      <c r="F101" s="8">
        <f>IF(OR(B101="",AND(C101="",D101="")),"",D101-C101)</f>
        <v/>
      </c>
    </row>
    <row r="102">
      <c r="A102" s="6" t="n"/>
      <c r="B102" s="4" t="n"/>
      <c r="C102" s="7" t="n"/>
      <c r="D102" s="7" t="n"/>
      <c r="E102" s="4" t="n"/>
      <c r="F102" s="8">
        <f>IF(OR(B102="",AND(C102="",D102="")),"",D102-C102)</f>
        <v/>
      </c>
    </row>
    <row r="103">
      <c r="A103" s="6" t="n"/>
      <c r="B103" s="4" t="n"/>
      <c r="C103" s="7" t="n"/>
      <c r="D103" s="7" t="n"/>
      <c r="E103" s="4" t="n"/>
      <c r="F103" s="8">
        <f>IF(OR(B103="",AND(C103="",D103="")),"",D103-C103)</f>
        <v/>
      </c>
    </row>
    <row r="104">
      <c r="A104" s="6" t="n"/>
      <c r="B104" s="4" t="n"/>
      <c r="C104" s="7" t="n"/>
      <c r="D104" s="7" t="n"/>
      <c r="E104" s="4" t="n"/>
      <c r="F104" s="8">
        <f>IF(OR(B104="",AND(C104="",D104="")),"",D104-C104)</f>
        <v/>
      </c>
    </row>
    <row r="105"/>
    <row r="106"/>
    <row r="107">
      <c r="A107" s="9" t="inlineStr">
        <is>
          <t>Odamlar balansi</t>
        </is>
      </c>
    </row>
    <row r="108" ht="30" customHeight="1">
      <c r="A108" s="3" t="inlineStr">
        <is>
          <t>Odam</t>
        </is>
      </c>
      <c r="B108" s="3" t="inlineStr">
        <is>
          <t>Balans</t>
        </is>
      </c>
      <c r="C108" s="3" t="inlineStr">
        <is>
          <t>Ma'nosi</t>
        </is>
      </c>
    </row>
    <row r="109">
      <c r="A109" s="4" t="inlineStr">
        <is>
          <t>Ali</t>
        </is>
      </c>
      <c r="B109" s="8">
        <f>SUMIFS(tblOldiBerdi[Qator_balans],tblOldiBerdi[Odam],A109)</f>
        <v/>
      </c>
      <c r="C109" s="10">
        <f>IF(B109&gt;0,"Bizga qarz (+"&amp;TEXT(B109,"#,##0")&amp;")",IF(B109&lt;0,"Bizdan qarz ("&amp;TEXT(B109,"#,##0")&amp;")","Hisob yo'q"))</f>
        <v/>
      </c>
    </row>
    <row r="110">
      <c r="A110" s="4" t="inlineStr">
        <is>
          <t>Vali</t>
        </is>
      </c>
      <c r="B110" s="8">
        <f>SUMIFS(tblOldiBerdi[Qator_balans],tblOldiBerdi[Odam],A110)</f>
        <v/>
      </c>
      <c r="C110" s="10">
        <f>IF(B110&gt;0,"Bizga qarz (+"&amp;TEXT(B110,"#,##0")&amp;")",IF(B110&lt;0,"Bizdan qarz ("&amp;TEXT(B110,"#,##0")&amp;")","Hisob yo'q"))</f>
        <v/>
      </c>
    </row>
    <row r="111">
      <c r="A111" s="4" t="inlineStr">
        <is>
          <t>Hasan</t>
        </is>
      </c>
      <c r="B111" s="8">
        <f>SUMIFS(tblOldiBerdi[Qator_balans],tblOldiBerdi[Odam],A111)</f>
        <v/>
      </c>
      <c r="C111" s="10">
        <f>IF(B111&gt;0,"Bizga qarz (+"&amp;TEXT(B111,"#,##0")&amp;")",IF(B111&lt;0,"Bizdan qarz ("&amp;TEXT(B111,"#,##0")&amp;")","Hisob yo'q"))</f>
        <v/>
      </c>
    </row>
    <row r="112">
      <c r="A112" s="5" t="inlineStr">
        <is>
          <t>JAMI (sof saldo)</t>
        </is>
      </c>
      <c r="B112" s="8">
        <f>SUM(B109:B111)</f>
        <v/>
      </c>
    </row>
    <row r="113"/>
    <row r="114">
      <c r="A114" s="11" t="inlineStr">
        <is>
          <t>Odamlardan jami qarz (+)</t>
        </is>
      </c>
      <c r="B114" s="8">
        <f>SUMIF(B109:B111,"&gt;0")</f>
        <v/>
      </c>
    </row>
    <row r="115">
      <c r="A115" s="11" t="inlineStr">
        <is>
          <t>Odamlarga jami qarz (-)</t>
        </is>
      </c>
      <c r="B115" s="8">
        <f>-SUMIF(B109:B111,"&lt;0")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</cols>
  <sheetData>
    <row r="1">
      <c r="A1" s="1" t="inlineStr">
        <is>
          <t>Hisobdagi jami pul</t>
        </is>
      </c>
    </row>
    <row r="2">
      <c r="A2" s="2" t="inlineStr">
        <is>
          <t>Kassa balansi va umumiy kirim-chiqim jamlanmasi.</t>
        </is>
      </c>
    </row>
    <row r="3"/>
    <row r="4" ht="30" customHeight="1">
      <c r="A4" s="3" t="inlineStr">
        <is>
          <t>Ko'rsatkich</t>
        </is>
      </c>
      <c r="B4" s="3" t="inlineStr">
        <is>
          <t>Summa (so'm)</t>
        </is>
      </c>
      <c r="C4" s="3" t="inlineStr">
        <is>
          <t>Izoh</t>
        </is>
      </c>
    </row>
    <row r="5">
      <c r="A5" t="inlineStr">
        <is>
          <t>Boshlang'ich kassa qoldiq</t>
        </is>
      </c>
      <c r="B5" s="8">
        <f>StartCash</f>
        <v/>
      </c>
      <c r="C5" t="inlineStr">
        <is>
          <t>Parametrlardan</t>
        </is>
      </c>
    </row>
    <row r="6">
      <c r="A6" t="inlineStr">
        <is>
          <t>Jami kirdi (sotuv)</t>
        </is>
      </c>
      <c r="B6" s="8">
        <f>SUM(tblKunlikKassa[Kirdi])</f>
        <v/>
      </c>
      <c r="C6" t="inlineStr">
        <is>
          <t>Barcha kunlar</t>
        </is>
      </c>
    </row>
    <row r="7">
      <c r="A7" t="inlineStr">
        <is>
          <t>Jami xarajat</t>
        </is>
      </c>
      <c r="B7" s="8">
        <f>SUM(tblKunlikKassa[Xarajat])</f>
        <v/>
      </c>
      <c r="C7" t="inlineStr"/>
    </row>
    <row r="8">
      <c r="A8" t="inlineStr">
        <is>
          <t>Jami tavarga pul</t>
        </is>
      </c>
      <c r="B8" s="8">
        <f>SUM(tblKunlikKassa[Tavarga_pul])</f>
        <v/>
      </c>
      <c r="C8" t="inlineStr">
        <is>
          <t>Tovar xaridi</t>
        </is>
      </c>
    </row>
    <row r="9">
      <c r="A9" t="inlineStr">
        <is>
          <t>Jami boshqa chiqim</t>
        </is>
      </c>
      <c r="B9" s="8">
        <f>SUM(tblKunlikKassa[Boshqa_chiqim])</f>
        <v/>
      </c>
      <c r="C9" t="inlineStr"/>
    </row>
    <row r="10">
      <c r="A10" t="inlineStr">
        <is>
          <t>Jami chiqim</t>
        </is>
      </c>
      <c r="B10" s="8">
        <f>SUM(tblKunlikKassa[Jami_chiqim])</f>
        <v/>
      </c>
      <c r="C10" t="inlineStr">
        <is>
          <t>Xarajat + tovar + boshqa</t>
        </is>
      </c>
    </row>
    <row r="11">
      <c r="A11" t="inlineStr"/>
      <c r="B11" s="12" t="n"/>
      <c r="C11" t="inlineStr"/>
    </row>
    <row r="12">
      <c r="A12" s="13" t="inlineStr">
        <is>
          <t>Joriy kassa balans</t>
        </is>
      </c>
      <c r="B12" s="8">
        <f>B5+B6-B10</f>
        <v/>
      </c>
      <c r="C12" s="11" t="inlineStr">
        <is>
          <t>Boshlang'ich + kirdi - jami chiqim</t>
        </is>
      </c>
    </row>
    <row r="13">
      <c r="A13" t="inlineStr">
        <is>
          <t>Oxirgi kun kassa qoldiq</t>
        </is>
      </c>
      <c r="B13" s="8">
        <f>IFERROR(LOOKUP(2,1/(tblKunlikKassa[Kassa_qoldiq]&lt;&gt;""),tblKunlikKassa[Kassa_qoldiq]),StartCash)</f>
        <v/>
      </c>
      <c r="C13" t="inlineStr">
        <is>
          <t>Jadvaldagi oxirgi qator</t>
        </is>
      </c>
    </row>
    <row r="14">
      <c r="A14" t="inlineStr"/>
      <c r="B14" s="12" t="n"/>
      <c r="C14" t="inlineStr"/>
    </row>
    <row r="15">
      <c r="A15" t="inlineStr">
        <is>
          <t>Odamlardan qarz (bizga)</t>
        </is>
      </c>
      <c r="B15" s="8">
        <f>PeopleReceivable</f>
        <v/>
      </c>
      <c r="C15" t="inlineStr">
        <is>
          <t>Oldi-berdi varag'i</t>
        </is>
      </c>
    </row>
    <row r="16">
      <c r="A16" t="inlineStr">
        <is>
          <t>Odamlarga qarz (bizdan)</t>
        </is>
      </c>
      <c r="B16" s="8">
        <f>PeoplePayable</f>
        <v/>
      </c>
      <c r="C16" t="inlineStr">
        <is>
          <t>Oldi-berdi varag'i</t>
        </is>
      </c>
    </row>
    <row r="17">
      <c r="A17" s="13" t="inlineStr">
        <is>
          <t>Umumiy moliyaviy holat</t>
        </is>
      </c>
      <c r="B17" s="8">
        <f>B12+B15-B16</f>
        <v/>
      </c>
      <c r="C17" s="11" t="inlineStr">
        <is>
          <t>Kassa + bizga qarz - bizdan qarz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10" customWidth="1" min="3" max="3"/>
  </cols>
  <sheetData>
    <row r="1">
      <c r="A1" s="1" t="inlineStr">
        <is>
          <t>Oylik xulosa</t>
        </is>
      </c>
    </row>
    <row r="2">
      <c r="A2" s="2" t="inlineStr">
        <is>
          <t>Parametrlardagi oy va yil bo'yicha avtomatik hisob (SUMIFS).</t>
        </is>
      </c>
    </row>
    <row r="3"/>
    <row r="4">
      <c r="A4" s="5" t="inlineStr">
        <is>
          <t>Tanlangan davr</t>
        </is>
      </c>
      <c r="B4" s="14">
        <f>ReportMonth&amp;"/"&amp;ReportYear</f>
        <v/>
      </c>
    </row>
    <row r="5"/>
    <row r="6" ht="30" customHeight="1">
      <c r="A6" s="3" t="inlineStr">
        <is>
          <t>Ko'rsatkich</t>
        </is>
      </c>
      <c r="B6" s="3" t="inlineStr">
        <is>
          <t>Summa (so'm)</t>
        </is>
      </c>
    </row>
    <row r="7">
      <c r="A7" t="inlineStr">
        <is>
          <t>Jami kirdi</t>
        </is>
      </c>
      <c r="B7" s="8">
        <f>SUMIFS(tblKunlikKassa[Kirdi],tblKunlikKassa[Sana],"&gt;=DATE(ReportYear,ReportMonth,1)",tblKunlikKassa[Sana],"&lt;DATE(ReportYear,ReportMonth+1,1)")</f>
        <v/>
      </c>
    </row>
    <row r="8">
      <c r="A8" t="inlineStr">
        <is>
          <t>Jami xarajat</t>
        </is>
      </c>
      <c r="B8" s="8">
        <f>SUMIFS(tblKunlikKassa[Xarajat],tblKunlikKassa[Sana],"&gt;=DATE(ReportYear,ReportMonth,1)",tblKunlikKassa[Sana],"&lt;DATE(ReportYear,ReportMonth+1,1)")</f>
        <v/>
      </c>
    </row>
    <row r="9">
      <c r="A9" t="inlineStr">
        <is>
          <t>Jami tavarga pul</t>
        </is>
      </c>
      <c r="B9" s="8">
        <f>SUMIFS(tblKunlikKassa[Tavarga_pul],tblKunlikKassa[Sana],"&gt;=DATE(ReportYear,ReportMonth,1)",tblKunlikKassa[Sana],"&lt;DATE(ReportYear,ReportMonth+1,1)")</f>
        <v/>
      </c>
    </row>
    <row r="10">
      <c r="A10" t="inlineStr">
        <is>
          <t>Jami boshqa chiqim</t>
        </is>
      </c>
      <c r="B10" s="8">
        <f>SUMIFS(tblKunlikKassa[Boshqa_chiqim],tblKunlikKassa[Sana],"&gt;=DATE(ReportYear,ReportMonth,1)",tblKunlikKassa[Sana],"&lt;DATE(ReportYear,ReportMonth+1,1)")</f>
        <v/>
      </c>
    </row>
    <row r="11">
      <c r="A11" t="inlineStr">
        <is>
          <t>Jami chiqim</t>
        </is>
      </c>
      <c r="B11" s="8">
        <f>B8+B9+B10</f>
        <v/>
      </c>
    </row>
    <row r="12">
      <c r="A12" s="13" t="inlineStr">
        <is>
          <t>Foyda (kirdi - chiqim)</t>
        </is>
      </c>
      <c r="B12" s="8">
        <f>B7-B11</f>
        <v/>
      </c>
    </row>
    <row r="13">
      <c r="A13" t="inlineStr"/>
    </row>
    <row r="14">
      <c r="A14" t="inlineStr">
        <is>
          <t>Oy oxiridagi kassa qoldiq</t>
        </is>
      </c>
      <c r="B14" s="8">
        <f>IFERROR(LOOKUP(2,1/(tblKunlikKassa[Kassa_qoldiq]&lt;&gt;""),tblKunlikKassa[Kassa_qoldiq]),StartCash)</f>
        <v/>
      </c>
    </row>
    <row r="15">
      <c r="A15" t="inlineStr">
        <is>
          <t>Odamlardan qarz (bizga)</t>
        </is>
      </c>
      <c r="B15" s="8">
        <f>PeopleReceivable</f>
        <v/>
      </c>
    </row>
    <row r="16">
      <c r="A16" t="inlineStr">
        <is>
          <t>Odamlarga qarz (bizdan)</t>
        </is>
      </c>
      <c r="B16" s="8">
        <f>PeoplePayable</f>
        <v/>
      </c>
    </row>
    <row r="17"/>
    <row r="18">
      <c r="A18" s="5" t="inlineStr">
        <is>
          <t>Eslatma</t>
        </is>
      </c>
    </row>
    <row r="19">
      <c r="A19" s="15" t="inlineStr">
        <is>
          <t>Foyda = shu oy kirdi minus barcha chiqimlar (xarajat + tovar + boshqa). Tovar xaridi pul chiqimi; sotuv foydasini alohida kuzatish kerak bo'lsa, tavarga ustuniga faqat tovar olishni yozing.</t>
        </is>
      </c>
    </row>
  </sheetData>
  <mergeCells count="1">
    <mergeCell ref="A19:C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2026-08-23T17:02:41Z</dcterms:created>
  <dcterms:modified xmlns:dcterms="http://purl.org/dc/terms/" xmlns:xsi="http://www.w3.org/2001/XMLSchema-instance" xsi:type="dcterms:W3CDTF">2026-08-23T17:02:41Z</dcterms:modified>
</cp:coreProperties>
</file>