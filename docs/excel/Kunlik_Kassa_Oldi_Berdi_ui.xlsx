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lar" sheetId="1" state="visible" r:id="rId1"/>
    <sheet xmlns:r="http://schemas.openxmlformats.org/officeDocument/2006/relationships" name="Xarajatlar" sheetId="2" state="visible" r:id="rId2"/>
    <sheet xmlns:r="http://schemas.openxmlformats.org/officeDocument/2006/relationships" name="Tovarga pul" sheetId="3" state="visible" r:id="rId3"/>
    <sheet xmlns:r="http://schemas.openxmlformats.org/officeDocument/2006/relationships" name="Kunlik kassa" sheetId="4" state="visible" r:id="rId4"/>
    <sheet xmlns:r="http://schemas.openxmlformats.org/officeDocument/2006/relationships" name="Oldi-berdi" sheetId="5" state="visible" r:id="rId5"/>
    <sheet xmlns:r="http://schemas.openxmlformats.org/officeDocument/2006/relationships" name="Hisob balans" sheetId="6" state="visible" r:id="rId6"/>
    <sheet xmlns:r="http://schemas.openxmlformats.org/officeDocument/2006/relationships" name="Oylik xulosa" sheetId="7" state="visible" r:id="rId7"/>
  </sheets>
  <definedNames>
    <definedName name="StoreName">Parametrlar!$B$5</definedName>
    <definedName name="StartCash">Parametrlar!$B$6</definedName>
    <definedName name="ReportMonth">Parametrlar!$B$7</definedName>
    <definedName name="ReportYear">Parametrlar!$B$8</definedName>
    <definedName name="OdamlarKod">Parametrlar!$A$13:$A$22</definedName>
    <definedName name="OdamlarIsm">Parametrlar!$B$13:$B$22</definedName>
    <definedName name="XarajatKod">Parametrlar!$A$27:$A$36</definedName>
    <definedName name="XarajatNomi">Parametrlar!$B$27:$B$36</definedName>
    <definedName name="YetkazuvchiKod">Parametrlar!$A$41:$A$50</definedName>
    <definedName name="YetkazuvchiIsm">Parametrlar!$B$41:$B$50</definedName>
    <definedName name="PeopleReceivable">'Oldi-berdi'!$C$114</definedName>
    <definedName name="PeoplePayable">'Oldi-berdi'!$C$115</definedName>
    <definedName name="_xlnm.Print_Titles" localSheetId="0">'Parametrlar'!$4:$4</definedName>
    <definedName name="_xlnm.Print_Titles" localSheetId="1">'Xarajatlar'!$4:$4</definedName>
    <definedName name="_xlnm.Print_Titles" localSheetId="2">'Tovarga pul'!$4:$4</definedName>
    <definedName name="_xlnm.Print_Titles" localSheetId="3">'Kunlik kassa'!$4:$4</definedName>
    <definedName name="_xlnm.Print_Titles" localSheetId="4">'Oldi-berdi'!$4:$4</definedName>
    <definedName name="_xlnm.Print_Titles" localSheetId="5">'Hisob balans'!$4:$4</definedName>
    <definedName name="_xlnm.Print_Titles" localSheetId="6">'Oylik xulosa'!$4:$4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C85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B3A4B"/>
      <sz val="12"/>
    </font>
    <font>
      <name val="Calibri"/>
      <i val="1"/>
      <color rgb="006B7C85"/>
      <sz val="9"/>
    </font>
    <font>
      <name val="Calibri"/>
      <b val="1"/>
      <color rgb="001B3A4B"/>
      <sz val="11"/>
    </font>
    <font>
      <name val="Calibri"/>
      <color rgb="001B3A4B"/>
      <sz val="11"/>
    </font>
  </fonts>
  <fills count="9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F0F4"/>
      </patternFill>
    </fill>
    <fill>
      <patternFill patternType="solid">
        <fgColor rgb="00FFF3CD"/>
      </patternFill>
    </fill>
    <fill>
      <patternFill patternType="solid">
        <fgColor rgb="00FCE7A8"/>
      </patternFill>
    </fill>
    <fill>
      <patternFill patternType="solid">
        <fgColor rgb="00D8E8D8"/>
      </patternFill>
    </fill>
    <fill>
      <patternFill patternType="solid">
        <fgColor rgb="00F5F5F0"/>
      </patternFill>
    </fill>
    <fill>
      <patternFill patternType="solid">
        <fgColor rgb="00C5DCC5"/>
      </patternFill>
    </fill>
  </fills>
  <borders count="2">
    <border>
      <left/>
      <right/>
      <top/>
      <bottom/>
      <diagonal/>
    </border>
    <border>
      <left style="thin">
        <color rgb="00C5CED4"/>
      </left>
      <right style="thin">
        <color rgb="00C5CED4"/>
      </right>
      <top style="thin">
        <color rgb="00C5CED4"/>
      </top>
      <bottom style="thin">
        <color rgb="00C5CED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2" fillId="0" borderId="1" pivotButton="0" quotePrefix="0" xfId="0"/>
    <xf numFmtId="3" fontId="4" fillId="4" borderId="1" pivotButton="0" quotePrefix="0" xfId="0"/>
    <xf numFmtId="0" fontId="5" fillId="0" borderId="0" pivotButton="0" quotePrefix="0" xfId="0"/>
    <xf numFmtId="0" fontId="4" fillId="5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165" fontId="4" fillId="6" borderId="1" pivotButton="0" quotePrefix="0" xfId="0"/>
    <xf numFmtId="0" fontId="4" fillId="6" borderId="1" pivotButton="0" quotePrefix="0" xfId="0"/>
    <xf numFmtId="0" fontId="6" fillId="7" borderId="1" applyAlignment="1" pivotButton="0" quotePrefix="0" xfId="0">
      <alignment horizontal="center"/>
    </xf>
    <xf numFmtId="165" fontId="4" fillId="4" borderId="1" pivotButton="0" quotePrefix="0" xfId="0"/>
    <xf numFmtId="3" fontId="4" fillId="6" borderId="1" pivotButton="0" quotePrefix="0" xfId="0"/>
    <xf numFmtId="0" fontId="7" fillId="3" borderId="1" pivotButton="0" quotePrefix="0" xfId="0"/>
    <xf numFmtId="3" fontId="7" fillId="8" borderId="1" pivotButton="0" quotePrefix="0" xfId="0"/>
    <xf numFmtId="3" fontId="0" fillId="8" borderId="1" pivotButton="0" quotePrefix="0" xfId="0"/>
    <xf numFmtId="0" fontId="4" fillId="3" borderId="1" applyAlignment="1" pivotButton="0" quotePrefix="0" xfId="0">
      <alignment vertical="center" indent="1"/>
    </xf>
    <xf numFmtId="3" fontId="8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vertical="center" indent="1"/>
    </xf>
    <xf numFmtId="3" fontId="5" fillId="8" borderId="1" applyAlignment="1" pivotButton="0" quotePrefix="0" xfId="0">
      <alignment horizontal="right" vertical="center"/>
    </xf>
    <xf numFmtId="0" fontId="2" fillId="0" borderId="0" applyAlignment="1" pivotButton="0" quotePrefix="0" xfId="0">
      <alignment wrapText="1"/>
    </xf>
    <xf numFmtId="0" fontId="5" fillId="6" borderId="1" pivotButton="0" quotePrefix="0" xfId="0"/>
    <xf numFmtId="3" fontId="8" fillId="6" borderId="1" pivotButton="0" quotePrefix="0" xfId="0"/>
    <xf numFmtId="0" fontId="7" fillId="8" borderId="1" pivotButton="0" quotePrefix="0" xfId="0"/>
    <xf numFmtId="3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damlar" displayName="tblOdamlar" ref="A12:C22" headerRowCount="1">
  <autoFilter ref="A12:C22"/>
  <tableColumns count="3">
    <tableColumn id="1" name="Kod"/>
    <tableColumn id="2" name="Ism"/>
    <tableColumn id="3" name="Izo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XarajatTurlari" displayName="tblXarajatTurlari" ref="A26:B36" headerRowCount="1">
  <autoFilter ref="A26:B36"/>
  <tableColumns count="2">
    <tableColumn id="1" name="Kod"/>
    <tableColumn id="2" name="Nomi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Yetkazuvchilar" displayName="tblYetkazuvchilar" ref="A40:B50" headerRowCount="1">
  <autoFilter ref="A40:B50"/>
  <tableColumns count="2">
    <tableColumn id="1" name="Kod"/>
    <tableColumn id="2" name="Ism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Xarajatlar" displayName="tblXarajatlar" ref="A4:F104" headerRowCount="1">
  <autoFilter ref="A4:F104"/>
  <tableColumns count="6">
    <tableColumn id="1" name="Kod"/>
    <tableColumn id="2" name="Summa"/>
    <tableColumn id="3" name="Izoh"/>
    <tableColumn id="4" name="Sana"/>
    <tableColumn id="5" name="Tur"/>
    <tableColumn id="6" name="Belgi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TovargaPul" displayName="tblTovargaPul" ref="A4:F104" headerRowCount="1">
  <autoFilter ref="A4:F104"/>
  <tableColumns count="6">
    <tableColumn id="1" name="Kod"/>
    <tableColumn id="2" name="Summa"/>
    <tableColumn id="3" name="Izoh"/>
    <tableColumn id="4" name="Sana"/>
    <tableColumn id="5" name="Yetkazuvchi"/>
    <tableColumn id="6" name="Belgi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KunlikKassa" displayName="tblKunlikKassa" ref="A4:I104" headerRowCount="1">
  <autoFilter ref="A4:I104"/>
  <tableColumns count="9">
    <tableColumn id="1" name="Sana"/>
    <tableColumn id="2" name="Kirdi"/>
    <tableColumn id="3" name="Boshqa_chiqim"/>
    <tableColumn id="4" name="Xarajat"/>
    <tableColumn id="5" name="Tavarga_pul"/>
    <tableColumn id="6" name="Jami_chiqim"/>
    <tableColumn id="7" name="Kunlik_farq"/>
    <tableColumn id="8" name="Kassa_qoldiq"/>
    <tableColumn id="9" name="Belgi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OldiBerdi" displayName="tblOldiBerdi" ref="A4:H104" headerRowCount="1">
  <autoFilter ref="A4:H104"/>
  <tableColumns count="8">
    <tableColumn id="1" name="Kod"/>
    <tableColumn id="2" name="Berdim"/>
    <tableColumn id="3" name="Oldim"/>
    <tableColumn id="4" name="Izoh"/>
    <tableColumn id="5" name="Sana"/>
    <tableColumn id="6" name="Odam"/>
    <tableColumn id="7" name="Qator_balans"/>
    <tableColumn id="8" name="Belgi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4" customWidth="1" min="3" max="3"/>
  </cols>
  <sheetData>
    <row r="1" ht="28" customHeight="1">
      <c r="A1" s="1" t="inlineStr">
        <is>
          <t>Parametrlar</t>
        </is>
      </c>
    </row>
    <row r="2" ht="36" customHeight="1">
      <c r="A2" s="2" t="inlineStr">
        <is>
          <t>Sariq — qo'lda yozing. Yashil — avtomatik. Qisqa KOD (SH, SV…) → to'liq ism boshqa varag'larda chiqadi.</t>
        </is>
      </c>
    </row>
    <row r="4" ht="32" customHeight="1">
      <c r="A4" s="3" t="inlineStr">
        <is>
          <t>Parametr</t>
        </is>
      </c>
      <c r="B4" s="3" t="inlineStr">
        <is>
          <t>Qiymat</t>
        </is>
      </c>
      <c r="C4" s="3" t="inlineStr">
        <is>
          <t>Izoh</t>
        </is>
      </c>
    </row>
    <row r="5">
      <c r="A5" s="4" t="inlineStr">
        <is>
          <t>Do'kon nomi</t>
        </is>
      </c>
      <c r="B5" s="5" t="inlineStr">
        <is>
          <t>Namuna Do'kon</t>
        </is>
      </c>
      <c r="C5" s="6" t="inlineStr">
        <is>
          <t>Sarlavhalar uchun</t>
        </is>
      </c>
    </row>
    <row r="6">
      <c r="A6" s="4" t="inlineStr">
        <is>
          <t>Boshlang'ich kassa (so'm)</t>
        </is>
      </c>
      <c r="B6" s="7" t="n">
        <v>500000</v>
      </c>
      <c r="C6" s="6" t="inlineStr">
        <is>
          <t>Oy boshidagi kassa qoldiq</t>
        </is>
      </c>
    </row>
    <row r="7">
      <c r="A7" s="4" t="inlineStr">
        <is>
          <t>Hisobot oyi</t>
        </is>
      </c>
      <c r="B7" s="5" t="n">
        <v>8</v>
      </c>
      <c r="C7" s="6" t="inlineStr">
        <is>
          <t>1–12 (Oylik xulosa)</t>
        </is>
      </c>
    </row>
    <row r="8">
      <c r="A8" s="4" t="inlineStr">
        <is>
          <t>Hisobot yili</t>
        </is>
      </c>
      <c r="B8" s="5" t="n">
        <v>2026</v>
      </c>
      <c r="C8" s="6" t="inlineStr">
        <is>
          <t>Masalan: 2026</t>
        </is>
      </c>
    </row>
    <row r="11">
      <c r="A11" s="8" t="inlineStr">
        <is>
          <t>1. Odamlar (oldi-berdi kodlari)</t>
        </is>
      </c>
    </row>
    <row r="12" ht="32" customHeight="1">
      <c r="A12" s="3" t="inlineStr">
        <is>
          <t>Kod</t>
        </is>
      </c>
      <c r="B12" s="3" t="inlineStr">
        <is>
          <t>Ism</t>
        </is>
      </c>
      <c r="C12" s="3" t="inlineStr">
        <is>
          <t>Izoh</t>
        </is>
      </c>
    </row>
    <row r="13">
      <c r="A13" s="9" t="inlineStr">
        <is>
          <t>SH</t>
        </is>
      </c>
      <c r="B13" s="5" t="inlineStr">
        <is>
          <t>sharobidin aka</t>
        </is>
      </c>
      <c r="C13" s="5" t="inlineStr">
        <is>
          <t>Do'st / hamkor</t>
        </is>
      </c>
    </row>
    <row r="14">
      <c r="A14" s="9" t="inlineStr">
        <is>
          <t>JA</t>
        </is>
      </c>
      <c r="B14" s="5" t="inlineStr">
        <is>
          <t>jasur aka</t>
        </is>
      </c>
      <c r="C14" s="5" t="inlineStr">
        <is>
          <t>Yetkazuvchi</t>
        </is>
      </c>
    </row>
    <row r="15">
      <c r="A15" s="9" t="inlineStr">
        <is>
          <t>SI</t>
        </is>
      </c>
      <c r="B15" s="5" t="inlineStr">
        <is>
          <t>siroch aka</t>
        </is>
      </c>
      <c r="C15" s="5" t="inlineStr">
        <is>
          <t>Qo'shni</t>
        </is>
      </c>
    </row>
    <row r="16">
      <c r="A16" s="9" t="n"/>
      <c r="B16" s="5" t="n"/>
      <c r="C16" s="5" t="n"/>
    </row>
    <row r="17">
      <c r="A17" s="9" t="n"/>
      <c r="B17" s="5" t="n"/>
      <c r="C17" s="5" t="n"/>
    </row>
    <row r="18">
      <c r="A18" s="9" t="n"/>
      <c r="B18" s="5" t="n"/>
      <c r="C18" s="5" t="n"/>
    </row>
    <row r="19">
      <c r="A19" s="9" t="n"/>
      <c r="B19" s="5" t="n"/>
      <c r="C19" s="5" t="n"/>
    </row>
    <row r="20">
      <c r="A20" s="9" t="n"/>
      <c r="B20" s="5" t="n"/>
      <c r="C20" s="5" t="n"/>
    </row>
    <row r="21">
      <c r="A21" s="9" t="n"/>
      <c r="B21" s="5" t="n"/>
      <c r="C21" s="5" t="n"/>
    </row>
    <row r="22">
      <c r="A22" s="9" t="n"/>
      <c r="B22" s="5" t="n"/>
      <c r="C22" s="5" t="n"/>
    </row>
    <row r="25">
      <c r="A25" s="8" t="inlineStr">
        <is>
          <t>2. Xarajat turlari</t>
        </is>
      </c>
    </row>
    <row r="26" ht="32" customHeight="1">
      <c r="A26" s="3" t="inlineStr">
        <is>
          <t>Kod</t>
        </is>
      </c>
      <c r="B26" s="3" t="inlineStr">
        <is>
          <t>Nomi</t>
        </is>
      </c>
    </row>
    <row r="27">
      <c r="A27" s="9" t="inlineStr">
        <is>
          <t>SV</t>
        </is>
      </c>
      <c r="B27" s="5" t="inlineStr">
        <is>
          <t>svet</t>
        </is>
      </c>
    </row>
    <row r="28">
      <c r="A28" s="9" t="inlineStr">
        <is>
          <t>AB</t>
        </is>
      </c>
      <c r="B28" s="5" t="inlineStr">
        <is>
          <t>abet</t>
        </is>
      </c>
    </row>
    <row r="29">
      <c r="A29" s="9" t="inlineStr">
        <is>
          <t>IJ</t>
        </is>
      </c>
      <c r="B29" s="5" t="inlineStr">
        <is>
          <t>ijara</t>
        </is>
      </c>
    </row>
    <row r="30">
      <c r="A30" s="9" t="inlineStr">
        <is>
          <t>MS</t>
        </is>
      </c>
      <c r="B30" s="5" t="inlineStr">
        <is>
          <t>maosh</t>
        </is>
      </c>
    </row>
    <row r="31">
      <c r="A31" s="9" t="inlineStr">
        <is>
          <t>TR</t>
        </is>
      </c>
      <c r="B31" s="5" t="inlineStr">
        <is>
          <t>transport</t>
        </is>
      </c>
    </row>
    <row r="32">
      <c r="A32" s="9" t="inlineStr">
        <is>
          <t>BOSHQA</t>
        </is>
      </c>
      <c r="B32" s="5" t="inlineStr">
        <is>
          <t>boshqa</t>
        </is>
      </c>
    </row>
    <row r="33">
      <c r="A33" s="9" t="n"/>
      <c r="B33" s="5" t="n"/>
    </row>
    <row r="34">
      <c r="A34" s="9" t="n"/>
      <c r="B34" s="5" t="n"/>
    </row>
    <row r="35">
      <c r="A35" s="9" t="n"/>
      <c r="B35" s="5" t="n"/>
    </row>
    <row r="36">
      <c r="A36" s="9" t="n"/>
      <c r="B36" s="5" t="n"/>
    </row>
    <row r="39">
      <c r="A39" s="8" t="inlineStr">
        <is>
          <t>3. Yetkazuvchilar / tovar manba</t>
        </is>
      </c>
    </row>
    <row r="40" ht="32" customHeight="1">
      <c r="A40" s="3" t="inlineStr">
        <is>
          <t>Kod</t>
        </is>
      </c>
      <c r="B40" s="3" t="inlineStr">
        <is>
          <t>Ism</t>
        </is>
      </c>
    </row>
    <row r="41">
      <c r="A41" s="9" t="inlineStr">
        <is>
          <t>JA</t>
        </is>
      </c>
      <c r="B41" s="5" t="inlineStr">
        <is>
          <t>jasur aka</t>
        </is>
      </c>
    </row>
    <row r="42">
      <c r="A42" s="9" t="inlineStr">
        <is>
          <t>SH</t>
        </is>
      </c>
      <c r="B42" s="5" t="inlineStr">
        <is>
          <t>sharobidin aka</t>
        </is>
      </c>
    </row>
    <row r="43">
      <c r="A43" s="9" t="inlineStr">
        <is>
          <t>BAZAR</t>
        </is>
      </c>
      <c r="B43" s="5" t="inlineStr">
        <is>
          <t>bazar</t>
        </is>
      </c>
    </row>
    <row r="44">
      <c r="A44" s="9" t="inlineStr">
        <is>
          <t>OPT</t>
        </is>
      </c>
      <c r="B44" s="5" t="inlineStr">
        <is>
          <t>optom yetkazuvchi</t>
        </is>
      </c>
    </row>
    <row r="45">
      <c r="A45" s="9" t="n"/>
      <c r="B45" s="5" t="n"/>
    </row>
    <row r="46">
      <c r="A46" s="9" t="n"/>
      <c r="B46" s="5" t="n"/>
    </row>
    <row r="47">
      <c r="A47" s="9" t="n"/>
      <c r="B47" s="5" t="n"/>
    </row>
    <row r="48">
      <c r="A48" s="9" t="n"/>
      <c r="B48" s="5" t="n"/>
    </row>
    <row r="49">
      <c r="A49" s="9" t="n"/>
      <c r="B49" s="5" t="n"/>
    </row>
    <row r="50">
      <c r="A50" s="9" t="n"/>
      <c r="B50" s="5" t="n"/>
    </row>
    <row r="52">
      <c r="A52" s="8" t="inlineStr">
        <is>
          <t>Namuna hisob (avgust 2026)</t>
        </is>
      </c>
    </row>
    <row r="53">
      <c r="A53" s="10" t="inlineStr">
        <is>
          <t>Boshlang'ich 500 000 + kirdi 3 680 000 − chiqim 1 295 000 = oy oxiri kassa 2 885 000. Bizga qarz: SH 200 000 + SI 50 000 = 250 000. Bizdan qarz: JA 150 000. Eski faylda 750 000 — 3-avgust kunlik chiqim/farq yoki 500k+250k qarz; bu kassa qoldiq emas.</t>
        </is>
      </c>
    </row>
    <row r="54"/>
    <row r="55"/>
  </sheetData>
  <mergeCells count="3">
    <mergeCell ref="A1:C1"/>
    <mergeCell ref="A2:C2"/>
    <mergeCell ref="A53:C55"/>
  </mergeCells>
  <pageMargins left="0.5" right="0.5" top="0.6" bottom="0.6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4" customWidth="1" min="5" max="5"/>
    <col width="10" customWidth="1" min="6" max="6"/>
  </cols>
  <sheetData>
    <row r="1" ht="28" customHeight="1">
      <c r="A1" s="1" t="inlineStr">
        <is>
          <t>Xarajatlar</t>
        </is>
      </c>
    </row>
    <row r="2" ht="36" customHeight="1">
      <c r="A2" s="2" t="inlineStr">
        <is>
          <t>Faqat Kod + Summa yozing (masalan SV va 45000). Sana va tur nomi avtomatik.</t>
        </is>
      </c>
    </row>
    <row r="4" ht="32" customHeight="1">
      <c r="A4" s="3" t="inlineStr">
        <is>
          <t>Kod</t>
        </is>
      </c>
      <c r="B4" s="3" t="inlineStr">
        <is>
          <t>Summa</t>
        </is>
      </c>
      <c r="C4" s="3" t="inlineStr">
        <is>
          <t>Izoh</t>
        </is>
      </c>
      <c r="D4" s="3" t="inlineStr">
        <is>
          <t>Sana</t>
        </is>
      </c>
      <c r="E4" s="3" t="inlineStr">
        <is>
          <t>Tur</t>
        </is>
      </c>
      <c r="F4" s="3" t="inlineStr">
        <is>
          <t>Belgi</t>
        </is>
      </c>
    </row>
    <row r="5">
      <c r="A5" s="9" t="inlineStr">
        <is>
          <t>SV</t>
        </is>
      </c>
      <c r="B5" s="7" t="n">
        <v>45000</v>
      </c>
      <c r="C5" s="5" t="inlineStr">
        <is>
          <t>Elektr to'lovi</t>
        </is>
      </c>
      <c r="D5" s="11" t="n">
        <v>46235</v>
      </c>
      <c r="E5" s="12">
        <f>IF(A5="","",IFERROR(INDEX(XarajatNomi,MATCH(A5,XarajatKod,0)),"?"))</f>
        <v/>
      </c>
      <c r="F5" s="13" t="inlineStr">
        <is>
          <t>Namuna</t>
        </is>
      </c>
    </row>
    <row r="6">
      <c r="A6" s="9" t="inlineStr">
        <is>
          <t>AB</t>
        </is>
      </c>
      <c r="B6" s="7" t="n">
        <v>35000</v>
      </c>
      <c r="C6" s="5" t="inlineStr">
        <is>
          <t>Tushlik</t>
        </is>
      </c>
      <c r="D6" s="11" t="n">
        <v>46235</v>
      </c>
      <c r="E6" s="12">
        <f>IF(A6="","",IFERROR(INDEX(XarajatNomi,MATCH(A6,XarajatKod,0)),"?"))</f>
        <v/>
      </c>
      <c r="F6" s="13" t="inlineStr">
        <is>
          <t>Namuna</t>
        </is>
      </c>
    </row>
    <row r="7">
      <c r="A7" s="9" t="inlineStr">
        <is>
          <t>IJ</t>
        </is>
      </c>
      <c r="B7" s="7" t="n">
        <v>500000</v>
      </c>
      <c r="C7" s="5" t="inlineStr">
        <is>
          <t>Ijara</t>
        </is>
      </c>
      <c r="D7" s="11" t="n">
        <v>46236</v>
      </c>
      <c r="E7" s="12">
        <f>IF(A7="","",IFERROR(INDEX(XarajatNomi,MATCH(A7,XarajatKod,0)),"?"))</f>
        <v/>
      </c>
      <c r="F7" s="13" t="inlineStr">
        <is>
          <t>Namuna</t>
        </is>
      </c>
    </row>
    <row r="8">
      <c r="A8" s="9" t="n"/>
      <c r="B8" s="7" t="n"/>
      <c r="C8" s="5" t="n"/>
      <c r="D8" s="11">
        <f>IF(OR(A8&lt;&gt;"",B8&gt;0),TODAY(),"")</f>
        <v/>
      </c>
      <c r="E8" s="12">
        <f>IF(A8="","",IFERROR(INDEX(XarajatNomi,MATCH(A8,XarajatKod,0)),"?"))</f>
        <v/>
      </c>
      <c r="F8" s="5" t="n"/>
    </row>
    <row r="9">
      <c r="A9" s="9" t="n"/>
      <c r="B9" s="7" t="n"/>
      <c r="C9" s="5" t="n"/>
      <c r="D9" s="11">
        <f>IF(OR(A9&lt;&gt;"",B9&gt;0),TODAY(),"")</f>
        <v/>
      </c>
      <c r="E9" s="12">
        <f>IF(A9="","",IFERROR(INDEX(XarajatNomi,MATCH(A9,XarajatKod,0)),"?"))</f>
        <v/>
      </c>
      <c r="F9" s="5" t="n"/>
    </row>
    <row r="10">
      <c r="A10" s="9" t="n"/>
      <c r="B10" s="7" t="n"/>
      <c r="C10" s="5" t="n"/>
      <c r="D10" s="11">
        <f>IF(OR(A10&lt;&gt;"",B10&gt;0),TODAY(),"")</f>
        <v/>
      </c>
      <c r="E10" s="12">
        <f>IF(A10="","",IFERROR(INDEX(XarajatNomi,MATCH(A10,XarajatKod,0)),"?"))</f>
        <v/>
      </c>
      <c r="F10" s="5" t="n"/>
    </row>
    <row r="11">
      <c r="A11" s="9" t="n"/>
      <c r="B11" s="7" t="n"/>
      <c r="C11" s="5" t="n"/>
      <c r="D11" s="11">
        <f>IF(OR(A11&lt;&gt;"",B11&gt;0),TODAY(),"")</f>
        <v/>
      </c>
      <c r="E11" s="12">
        <f>IF(A11="","",IFERROR(INDEX(XarajatNomi,MATCH(A11,XarajatKod,0)),"?"))</f>
        <v/>
      </c>
      <c r="F11" s="5" t="n"/>
    </row>
    <row r="12">
      <c r="A12" s="9" t="n"/>
      <c r="B12" s="7" t="n"/>
      <c r="C12" s="5" t="n"/>
      <c r="D12" s="11">
        <f>IF(OR(A12&lt;&gt;"",B12&gt;0),TODAY(),"")</f>
        <v/>
      </c>
      <c r="E12" s="12">
        <f>IF(A12="","",IFERROR(INDEX(XarajatNomi,MATCH(A12,XarajatKod,0)),"?"))</f>
        <v/>
      </c>
      <c r="F12" s="5" t="n"/>
    </row>
    <row r="13">
      <c r="A13" s="9" t="n"/>
      <c r="B13" s="7" t="n"/>
      <c r="C13" s="5" t="n"/>
      <c r="D13" s="11">
        <f>IF(OR(A13&lt;&gt;"",B13&gt;0),TODAY(),"")</f>
        <v/>
      </c>
      <c r="E13" s="12">
        <f>IF(A13="","",IFERROR(INDEX(XarajatNomi,MATCH(A13,XarajatKod,0)),"?"))</f>
        <v/>
      </c>
      <c r="F13" s="5" t="n"/>
    </row>
    <row r="14">
      <c r="A14" s="9" t="n"/>
      <c r="B14" s="7" t="n"/>
      <c r="C14" s="5" t="n"/>
      <c r="D14" s="11">
        <f>IF(OR(A14&lt;&gt;"",B14&gt;0),TODAY(),"")</f>
        <v/>
      </c>
      <c r="E14" s="12">
        <f>IF(A14="","",IFERROR(INDEX(XarajatNomi,MATCH(A14,XarajatKod,0)),"?"))</f>
        <v/>
      </c>
      <c r="F14" s="5" t="n"/>
    </row>
    <row r="15">
      <c r="A15" s="9" t="n"/>
      <c r="B15" s="7" t="n"/>
      <c r="C15" s="5" t="n"/>
      <c r="D15" s="11">
        <f>IF(OR(A15&lt;&gt;"",B15&gt;0),TODAY(),"")</f>
        <v/>
      </c>
      <c r="E15" s="12">
        <f>IF(A15="","",IFERROR(INDEX(XarajatNomi,MATCH(A15,XarajatKod,0)),"?"))</f>
        <v/>
      </c>
      <c r="F15" s="5" t="n"/>
    </row>
    <row r="16">
      <c r="A16" s="9" t="n"/>
      <c r="B16" s="7" t="n"/>
      <c r="C16" s="5" t="n"/>
      <c r="D16" s="11">
        <f>IF(OR(A16&lt;&gt;"",B16&gt;0),TODAY(),"")</f>
        <v/>
      </c>
      <c r="E16" s="12">
        <f>IF(A16="","",IFERROR(INDEX(XarajatNomi,MATCH(A16,XarajatKod,0)),"?"))</f>
        <v/>
      </c>
      <c r="F16" s="5" t="n"/>
    </row>
    <row r="17">
      <c r="A17" s="9" t="n"/>
      <c r="B17" s="7" t="n"/>
      <c r="C17" s="5" t="n"/>
      <c r="D17" s="11">
        <f>IF(OR(A17&lt;&gt;"",B17&gt;0),TODAY(),"")</f>
        <v/>
      </c>
      <c r="E17" s="12">
        <f>IF(A17="","",IFERROR(INDEX(XarajatNomi,MATCH(A17,XarajatKod,0)),"?"))</f>
        <v/>
      </c>
      <c r="F17" s="5" t="n"/>
    </row>
    <row r="18">
      <c r="A18" s="9" t="n"/>
      <c r="B18" s="7" t="n"/>
      <c r="C18" s="5" t="n"/>
      <c r="D18" s="11">
        <f>IF(OR(A18&lt;&gt;"",B18&gt;0),TODAY(),"")</f>
        <v/>
      </c>
      <c r="E18" s="12">
        <f>IF(A18="","",IFERROR(INDEX(XarajatNomi,MATCH(A18,XarajatKod,0)),"?"))</f>
        <v/>
      </c>
      <c r="F18" s="5" t="n"/>
    </row>
    <row r="19">
      <c r="A19" s="9" t="n"/>
      <c r="B19" s="7" t="n"/>
      <c r="C19" s="5" t="n"/>
      <c r="D19" s="11">
        <f>IF(OR(A19&lt;&gt;"",B19&gt;0),TODAY(),"")</f>
        <v/>
      </c>
      <c r="E19" s="12">
        <f>IF(A19="","",IFERROR(INDEX(XarajatNomi,MATCH(A19,XarajatKod,0)),"?"))</f>
        <v/>
      </c>
      <c r="F19" s="5" t="n"/>
    </row>
    <row r="20">
      <c r="A20" s="9" t="n"/>
      <c r="B20" s="7" t="n"/>
      <c r="C20" s="5" t="n"/>
      <c r="D20" s="11">
        <f>IF(OR(A20&lt;&gt;"",B20&gt;0),TODAY(),"")</f>
        <v/>
      </c>
      <c r="E20" s="12">
        <f>IF(A20="","",IFERROR(INDEX(XarajatNomi,MATCH(A20,XarajatKod,0)),"?"))</f>
        <v/>
      </c>
      <c r="F20" s="5" t="n"/>
    </row>
    <row r="21">
      <c r="A21" s="9" t="n"/>
      <c r="B21" s="7" t="n"/>
      <c r="C21" s="5" t="n"/>
      <c r="D21" s="11">
        <f>IF(OR(A21&lt;&gt;"",B21&gt;0),TODAY(),"")</f>
        <v/>
      </c>
      <c r="E21" s="12">
        <f>IF(A21="","",IFERROR(INDEX(XarajatNomi,MATCH(A21,XarajatKod,0)),"?"))</f>
        <v/>
      </c>
      <c r="F21" s="5" t="n"/>
    </row>
    <row r="22">
      <c r="A22" s="9" t="n"/>
      <c r="B22" s="7" t="n"/>
      <c r="C22" s="5" t="n"/>
      <c r="D22" s="11">
        <f>IF(OR(A22&lt;&gt;"",B22&gt;0),TODAY(),"")</f>
        <v/>
      </c>
      <c r="E22" s="12">
        <f>IF(A22="","",IFERROR(INDEX(XarajatNomi,MATCH(A22,XarajatKod,0)),"?"))</f>
        <v/>
      </c>
      <c r="F22" s="5" t="n"/>
    </row>
    <row r="23">
      <c r="A23" s="9" t="n"/>
      <c r="B23" s="7" t="n"/>
      <c r="C23" s="5" t="n"/>
      <c r="D23" s="11">
        <f>IF(OR(A23&lt;&gt;"",B23&gt;0),TODAY(),"")</f>
        <v/>
      </c>
      <c r="E23" s="12">
        <f>IF(A23="","",IFERROR(INDEX(XarajatNomi,MATCH(A23,XarajatKod,0)),"?"))</f>
        <v/>
      </c>
      <c r="F23" s="5" t="n"/>
    </row>
    <row r="24">
      <c r="A24" s="9" t="n"/>
      <c r="B24" s="7" t="n"/>
      <c r="C24" s="5" t="n"/>
      <c r="D24" s="11">
        <f>IF(OR(A24&lt;&gt;"",B24&gt;0),TODAY(),"")</f>
        <v/>
      </c>
      <c r="E24" s="12">
        <f>IF(A24="","",IFERROR(INDEX(XarajatNomi,MATCH(A24,XarajatKod,0)),"?"))</f>
        <v/>
      </c>
      <c r="F24" s="5" t="n"/>
    </row>
    <row r="25">
      <c r="A25" s="9" t="n"/>
      <c r="B25" s="7" t="n"/>
      <c r="C25" s="5" t="n"/>
      <c r="D25" s="11">
        <f>IF(OR(A25&lt;&gt;"",B25&gt;0),TODAY(),"")</f>
        <v/>
      </c>
      <c r="E25" s="12">
        <f>IF(A25="","",IFERROR(INDEX(XarajatNomi,MATCH(A25,XarajatKod,0)),"?"))</f>
        <v/>
      </c>
      <c r="F25" s="5" t="n"/>
    </row>
    <row r="26">
      <c r="A26" s="9" t="n"/>
      <c r="B26" s="7" t="n"/>
      <c r="C26" s="5" t="n"/>
      <c r="D26" s="11">
        <f>IF(OR(A26&lt;&gt;"",B26&gt;0),TODAY(),"")</f>
        <v/>
      </c>
      <c r="E26" s="12">
        <f>IF(A26="","",IFERROR(INDEX(XarajatNomi,MATCH(A26,XarajatKod,0)),"?"))</f>
        <v/>
      </c>
      <c r="F26" s="5" t="n"/>
    </row>
    <row r="27">
      <c r="A27" s="9" t="n"/>
      <c r="B27" s="7" t="n"/>
      <c r="C27" s="5" t="n"/>
      <c r="D27" s="11">
        <f>IF(OR(A27&lt;&gt;"",B27&gt;0),TODAY(),"")</f>
        <v/>
      </c>
      <c r="E27" s="12">
        <f>IF(A27="","",IFERROR(INDEX(XarajatNomi,MATCH(A27,XarajatKod,0)),"?"))</f>
        <v/>
      </c>
      <c r="F27" s="5" t="n"/>
    </row>
    <row r="28">
      <c r="A28" s="9" t="n"/>
      <c r="B28" s="7" t="n"/>
      <c r="C28" s="5" t="n"/>
      <c r="D28" s="11">
        <f>IF(OR(A28&lt;&gt;"",B28&gt;0),TODAY(),"")</f>
        <v/>
      </c>
      <c r="E28" s="12">
        <f>IF(A28="","",IFERROR(INDEX(XarajatNomi,MATCH(A28,XarajatKod,0)),"?"))</f>
        <v/>
      </c>
      <c r="F28" s="5" t="n"/>
    </row>
    <row r="29">
      <c r="A29" s="9" t="n"/>
      <c r="B29" s="7" t="n"/>
      <c r="C29" s="5" t="n"/>
      <c r="D29" s="11">
        <f>IF(OR(A29&lt;&gt;"",B29&gt;0),TODAY(),"")</f>
        <v/>
      </c>
      <c r="E29" s="12">
        <f>IF(A29="","",IFERROR(INDEX(XarajatNomi,MATCH(A29,XarajatKod,0)),"?"))</f>
        <v/>
      </c>
      <c r="F29" s="5" t="n"/>
    </row>
    <row r="30">
      <c r="A30" s="9" t="n"/>
      <c r="B30" s="7" t="n"/>
      <c r="C30" s="5" t="n"/>
      <c r="D30" s="11">
        <f>IF(OR(A30&lt;&gt;"",B30&gt;0),TODAY(),"")</f>
        <v/>
      </c>
      <c r="E30" s="12">
        <f>IF(A30="","",IFERROR(INDEX(XarajatNomi,MATCH(A30,XarajatKod,0)),"?"))</f>
        <v/>
      </c>
      <c r="F30" s="5" t="n"/>
    </row>
    <row r="31">
      <c r="A31" s="9" t="n"/>
      <c r="B31" s="7" t="n"/>
      <c r="C31" s="5" t="n"/>
      <c r="D31" s="11">
        <f>IF(OR(A31&lt;&gt;"",B31&gt;0),TODAY(),"")</f>
        <v/>
      </c>
      <c r="E31" s="12">
        <f>IF(A31="","",IFERROR(INDEX(XarajatNomi,MATCH(A31,XarajatKod,0)),"?"))</f>
        <v/>
      </c>
      <c r="F31" s="5" t="n"/>
    </row>
    <row r="32">
      <c r="A32" s="9" t="n"/>
      <c r="B32" s="7" t="n"/>
      <c r="C32" s="5" t="n"/>
      <c r="D32" s="11">
        <f>IF(OR(A32&lt;&gt;"",B32&gt;0),TODAY(),"")</f>
        <v/>
      </c>
      <c r="E32" s="12">
        <f>IF(A32="","",IFERROR(INDEX(XarajatNomi,MATCH(A32,XarajatKod,0)),"?"))</f>
        <v/>
      </c>
      <c r="F32" s="5" t="n"/>
    </row>
    <row r="33">
      <c r="A33" s="9" t="n"/>
      <c r="B33" s="7" t="n"/>
      <c r="C33" s="5" t="n"/>
      <c r="D33" s="11">
        <f>IF(OR(A33&lt;&gt;"",B33&gt;0),TODAY(),"")</f>
        <v/>
      </c>
      <c r="E33" s="12">
        <f>IF(A33="","",IFERROR(INDEX(XarajatNomi,MATCH(A33,XarajatKod,0)),"?"))</f>
        <v/>
      </c>
      <c r="F33" s="5" t="n"/>
    </row>
    <row r="34">
      <c r="A34" s="9" t="n"/>
      <c r="B34" s="7" t="n"/>
      <c r="C34" s="5" t="n"/>
      <c r="D34" s="11">
        <f>IF(OR(A34&lt;&gt;"",B34&gt;0),TODAY(),"")</f>
        <v/>
      </c>
      <c r="E34" s="12">
        <f>IF(A34="","",IFERROR(INDEX(XarajatNomi,MATCH(A34,XarajatKod,0)),"?"))</f>
        <v/>
      </c>
      <c r="F34" s="5" t="n"/>
    </row>
    <row r="35">
      <c r="A35" s="9" t="n"/>
      <c r="B35" s="7" t="n"/>
      <c r="C35" s="5" t="n"/>
      <c r="D35" s="11">
        <f>IF(OR(A35&lt;&gt;"",B35&gt;0),TODAY(),"")</f>
        <v/>
      </c>
      <c r="E35" s="12">
        <f>IF(A35="","",IFERROR(INDEX(XarajatNomi,MATCH(A35,XarajatKod,0)),"?"))</f>
        <v/>
      </c>
      <c r="F35" s="5" t="n"/>
    </row>
    <row r="36">
      <c r="A36" s="9" t="n"/>
      <c r="B36" s="7" t="n"/>
      <c r="C36" s="5" t="n"/>
      <c r="D36" s="11">
        <f>IF(OR(A36&lt;&gt;"",B36&gt;0),TODAY(),"")</f>
        <v/>
      </c>
      <c r="E36" s="12">
        <f>IF(A36="","",IFERROR(INDEX(XarajatNomi,MATCH(A36,XarajatKod,0)),"?"))</f>
        <v/>
      </c>
      <c r="F36" s="5" t="n"/>
    </row>
    <row r="37">
      <c r="A37" s="9" t="n"/>
      <c r="B37" s="7" t="n"/>
      <c r="C37" s="5" t="n"/>
      <c r="D37" s="11">
        <f>IF(OR(A37&lt;&gt;"",B37&gt;0),TODAY(),"")</f>
        <v/>
      </c>
      <c r="E37" s="12">
        <f>IF(A37="","",IFERROR(INDEX(XarajatNomi,MATCH(A37,XarajatKod,0)),"?"))</f>
        <v/>
      </c>
      <c r="F37" s="5" t="n"/>
    </row>
    <row r="38">
      <c r="A38" s="9" t="n"/>
      <c r="B38" s="7" t="n"/>
      <c r="C38" s="5" t="n"/>
      <c r="D38" s="11">
        <f>IF(OR(A38&lt;&gt;"",B38&gt;0),TODAY(),"")</f>
        <v/>
      </c>
      <c r="E38" s="12">
        <f>IF(A38="","",IFERROR(INDEX(XarajatNomi,MATCH(A38,XarajatKod,0)),"?"))</f>
        <v/>
      </c>
      <c r="F38" s="5" t="n"/>
    </row>
    <row r="39">
      <c r="A39" s="9" t="n"/>
      <c r="B39" s="7" t="n"/>
      <c r="C39" s="5" t="n"/>
      <c r="D39" s="11">
        <f>IF(OR(A39&lt;&gt;"",B39&gt;0),TODAY(),"")</f>
        <v/>
      </c>
      <c r="E39" s="12">
        <f>IF(A39="","",IFERROR(INDEX(XarajatNomi,MATCH(A39,XarajatKod,0)),"?"))</f>
        <v/>
      </c>
      <c r="F39" s="5" t="n"/>
    </row>
    <row r="40">
      <c r="A40" s="9" t="n"/>
      <c r="B40" s="7" t="n"/>
      <c r="C40" s="5" t="n"/>
      <c r="D40" s="11">
        <f>IF(OR(A40&lt;&gt;"",B40&gt;0),TODAY(),"")</f>
        <v/>
      </c>
      <c r="E40" s="12">
        <f>IF(A40="","",IFERROR(INDEX(XarajatNomi,MATCH(A40,XarajatKod,0)),"?"))</f>
        <v/>
      </c>
      <c r="F40" s="5" t="n"/>
    </row>
    <row r="41">
      <c r="A41" s="9" t="n"/>
      <c r="B41" s="7" t="n"/>
      <c r="C41" s="5" t="n"/>
      <c r="D41" s="11">
        <f>IF(OR(A41&lt;&gt;"",B41&gt;0),TODAY(),"")</f>
        <v/>
      </c>
      <c r="E41" s="12">
        <f>IF(A41="","",IFERROR(INDEX(XarajatNomi,MATCH(A41,XarajatKod,0)),"?"))</f>
        <v/>
      </c>
      <c r="F41" s="5" t="n"/>
    </row>
    <row r="42">
      <c r="A42" s="9" t="n"/>
      <c r="B42" s="7" t="n"/>
      <c r="C42" s="5" t="n"/>
      <c r="D42" s="11">
        <f>IF(OR(A42&lt;&gt;"",B42&gt;0),TODAY(),"")</f>
        <v/>
      </c>
      <c r="E42" s="12">
        <f>IF(A42="","",IFERROR(INDEX(XarajatNomi,MATCH(A42,XarajatKod,0)),"?"))</f>
        <v/>
      </c>
      <c r="F42" s="5" t="n"/>
    </row>
    <row r="43">
      <c r="A43" s="9" t="n"/>
      <c r="B43" s="7" t="n"/>
      <c r="C43" s="5" t="n"/>
      <c r="D43" s="11">
        <f>IF(OR(A43&lt;&gt;"",B43&gt;0),TODAY(),"")</f>
        <v/>
      </c>
      <c r="E43" s="12">
        <f>IF(A43="","",IFERROR(INDEX(XarajatNomi,MATCH(A43,XarajatKod,0)),"?"))</f>
        <v/>
      </c>
      <c r="F43" s="5" t="n"/>
    </row>
    <row r="44">
      <c r="A44" s="9" t="n"/>
      <c r="B44" s="7" t="n"/>
      <c r="C44" s="5" t="n"/>
      <c r="D44" s="11">
        <f>IF(OR(A44&lt;&gt;"",B44&gt;0),TODAY(),"")</f>
        <v/>
      </c>
      <c r="E44" s="12">
        <f>IF(A44="","",IFERROR(INDEX(XarajatNomi,MATCH(A44,XarajatKod,0)),"?"))</f>
        <v/>
      </c>
      <c r="F44" s="5" t="n"/>
    </row>
    <row r="45">
      <c r="A45" s="9" t="n"/>
      <c r="B45" s="7" t="n"/>
      <c r="C45" s="5" t="n"/>
      <c r="D45" s="11">
        <f>IF(OR(A45&lt;&gt;"",B45&gt;0),TODAY(),"")</f>
        <v/>
      </c>
      <c r="E45" s="12">
        <f>IF(A45="","",IFERROR(INDEX(XarajatNomi,MATCH(A45,XarajatKod,0)),"?"))</f>
        <v/>
      </c>
      <c r="F45" s="5" t="n"/>
    </row>
    <row r="46">
      <c r="A46" s="9" t="n"/>
      <c r="B46" s="7" t="n"/>
      <c r="C46" s="5" t="n"/>
      <c r="D46" s="11">
        <f>IF(OR(A46&lt;&gt;"",B46&gt;0),TODAY(),"")</f>
        <v/>
      </c>
      <c r="E46" s="12">
        <f>IF(A46="","",IFERROR(INDEX(XarajatNomi,MATCH(A46,XarajatKod,0)),"?"))</f>
        <v/>
      </c>
      <c r="F46" s="5" t="n"/>
    </row>
    <row r="47">
      <c r="A47" s="9" t="n"/>
      <c r="B47" s="7" t="n"/>
      <c r="C47" s="5" t="n"/>
      <c r="D47" s="11">
        <f>IF(OR(A47&lt;&gt;"",B47&gt;0),TODAY(),"")</f>
        <v/>
      </c>
      <c r="E47" s="12">
        <f>IF(A47="","",IFERROR(INDEX(XarajatNomi,MATCH(A47,XarajatKod,0)),"?"))</f>
        <v/>
      </c>
      <c r="F47" s="5" t="n"/>
    </row>
    <row r="48">
      <c r="A48" s="9" t="n"/>
      <c r="B48" s="7" t="n"/>
      <c r="C48" s="5" t="n"/>
      <c r="D48" s="11">
        <f>IF(OR(A48&lt;&gt;"",B48&gt;0),TODAY(),"")</f>
        <v/>
      </c>
      <c r="E48" s="12">
        <f>IF(A48="","",IFERROR(INDEX(XarajatNomi,MATCH(A48,XarajatKod,0)),"?"))</f>
        <v/>
      </c>
      <c r="F48" s="5" t="n"/>
    </row>
    <row r="49">
      <c r="A49" s="9" t="n"/>
      <c r="B49" s="7" t="n"/>
      <c r="C49" s="5" t="n"/>
      <c r="D49" s="11">
        <f>IF(OR(A49&lt;&gt;"",B49&gt;0),TODAY(),"")</f>
        <v/>
      </c>
      <c r="E49" s="12">
        <f>IF(A49="","",IFERROR(INDEX(XarajatNomi,MATCH(A49,XarajatKod,0)),"?"))</f>
        <v/>
      </c>
      <c r="F49" s="5" t="n"/>
    </row>
    <row r="50">
      <c r="A50" s="9" t="n"/>
      <c r="B50" s="7" t="n"/>
      <c r="C50" s="5" t="n"/>
      <c r="D50" s="11">
        <f>IF(OR(A50&lt;&gt;"",B50&gt;0),TODAY(),"")</f>
        <v/>
      </c>
      <c r="E50" s="12">
        <f>IF(A50="","",IFERROR(INDEX(XarajatNomi,MATCH(A50,XarajatKod,0)),"?"))</f>
        <v/>
      </c>
      <c r="F50" s="5" t="n"/>
    </row>
    <row r="51">
      <c r="A51" s="9" t="n"/>
      <c r="B51" s="7" t="n"/>
      <c r="C51" s="5" t="n"/>
      <c r="D51" s="11">
        <f>IF(OR(A51&lt;&gt;"",B51&gt;0),TODAY(),"")</f>
        <v/>
      </c>
      <c r="E51" s="12">
        <f>IF(A51="","",IFERROR(INDEX(XarajatNomi,MATCH(A51,XarajatKod,0)),"?"))</f>
        <v/>
      </c>
      <c r="F51" s="5" t="n"/>
    </row>
    <row r="52">
      <c r="A52" s="9" t="n"/>
      <c r="B52" s="7" t="n"/>
      <c r="C52" s="5" t="n"/>
      <c r="D52" s="11">
        <f>IF(OR(A52&lt;&gt;"",B52&gt;0),TODAY(),"")</f>
        <v/>
      </c>
      <c r="E52" s="12">
        <f>IF(A52="","",IFERROR(INDEX(XarajatNomi,MATCH(A52,XarajatKod,0)),"?"))</f>
        <v/>
      </c>
      <c r="F52" s="5" t="n"/>
    </row>
    <row r="53">
      <c r="A53" s="9" t="n"/>
      <c r="B53" s="7" t="n"/>
      <c r="C53" s="5" t="n"/>
      <c r="D53" s="11">
        <f>IF(OR(A53&lt;&gt;"",B53&gt;0),TODAY(),"")</f>
        <v/>
      </c>
      <c r="E53" s="12">
        <f>IF(A53="","",IFERROR(INDEX(XarajatNomi,MATCH(A53,XarajatKod,0)),"?"))</f>
        <v/>
      </c>
      <c r="F53" s="5" t="n"/>
    </row>
    <row r="54">
      <c r="A54" s="9" t="n"/>
      <c r="B54" s="7" t="n"/>
      <c r="C54" s="5" t="n"/>
      <c r="D54" s="11">
        <f>IF(OR(A54&lt;&gt;"",B54&gt;0),TODAY(),"")</f>
        <v/>
      </c>
      <c r="E54" s="12">
        <f>IF(A54="","",IFERROR(INDEX(XarajatNomi,MATCH(A54,XarajatKod,0)),"?"))</f>
        <v/>
      </c>
      <c r="F54" s="5" t="n"/>
    </row>
    <row r="55">
      <c r="A55" s="9" t="n"/>
      <c r="B55" s="7" t="n"/>
      <c r="C55" s="5" t="n"/>
      <c r="D55" s="11">
        <f>IF(OR(A55&lt;&gt;"",B55&gt;0),TODAY(),"")</f>
        <v/>
      </c>
      <c r="E55" s="12">
        <f>IF(A55="","",IFERROR(INDEX(XarajatNomi,MATCH(A55,XarajatKod,0)),"?"))</f>
        <v/>
      </c>
      <c r="F55" s="5" t="n"/>
    </row>
    <row r="56">
      <c r="A56" s="9" t="n"/>
      <c r="B56" s="7" t="n"/>
      <c r="C56" s="5" t="n"/>
      <c r="D56" s="11">
        <f>IF(OR(A56&lt;&gt;"",B56&gt;0),TODAY(),"")</f>
        <v/>
      </c>
      <c r="E56" s="12">
        <f>IF(A56="","",IFERROR(INDEX(XarajatNomi,MATCH(A56,XarajatKod,0)),"?"))</f>
        <v/>
      </c>
      <c r="F56" s="5" t="n"/>
    </row>
    <row r="57">
      <c r="A57" s="9" t="n"/>
      <c r="B57" s="7" t="n"/>
      <c r="C57" s="5" t="n"/>
      <c r="D57" s="11">
        <f>IF(OR(A57&lt;&gt;"",B57&gt;0),TODAY(),"")</f>
        <v/>
      </c>
      <c r="E57" s="12">
        <f>IF(A57="","",IFERROR(INDEX(XarajatNomi,MATCH(A57,XarajatKod,0)),"?"))</f>
        <v/>
      </c>
      <c r="F57" s="5" t="n"/>
    </row>
    <row r="58">
      <c r="A58" s="9" t="n"/>
      <c r="B58" s="7" t="n"/>
      <c r="C58" s="5" t="n"/>
      <c r="D58" s="11">
        <f>IF(OR(A58&lt;&gt;"",B58&gt;0),TODAY(),"")</f>
        <v/>
      </c>
      <c r="E58" s="12">
        <f>IF(A58="","",IFERROR(INDEX(XarajatNomi,MATCH(A58,XarajatKod,0)),"?"))</f>
        <v/>
      </c>
      <c r="F58" s="5" t="n"/>
    </row>
    <row r="59">
      <c r="A59" s="9" t="n"/>
      <c r="B59" s="7" t="n"/>
      <c r="C59" s="5" t="n"/>
      <c r="D59" s="11">
        <f>IF(OR(A59&lt;&gt;"",B59&gt;0),TODAY(),"")</f>
        <v/>
      </c>
      <c r="E59" s="12">
        <f>IF(A59="","",IFERROR(INDEX(XarajatNomi,MATCH(A59,XarajatKod,0)),"?"))</f>
        <v/>
      </c>
      <c r="F59" s="5" t="n"/>
    </row>
    <row r="60">
      <c r="A60" s="9" t="n"/>
      <c r="B60" s="7" t="n"/>
      <c r="C60" s="5" t="n"/>
      <c r="D60" s="11">
        <f>IF(OR(A60&lt;&gt;"",B60&gt;0),TODAY(),"")</f>
        <v/>
      </c>
      <c r="E60" s="12">
        <f>IF(A60="","",IFERROR(INDEX(XarajatNomi,MATCH(A60,XarajatKod,0)),"?"))</f>
        <v/>
      </c>
      <c r="F60" s="5" t="n"/>
    </row>
    <row r="61">
      <c r="A61" s="9" t="n"/>
      <c r="B61" s="7" t="n"/>
      <c r="C61" s="5" t="n"/>
      <c r="D61" s="11">
        <f>IF(OR(A61&lt;&gt;"",B61&gt;0),TODAY(),"")</f>
        <v/>
      </c>
      <c r="E61" s="12">
        <f>IF(A61="","",IFERROR(INDEX(XarajatNomi,MATCH(A61,XarajatKod,0)),"?"))</f>
        <v/>
      </c>
      <c r="F61" s="5" t="n"/>
    </row>
    <row r="62">
      <c r="A62" s="9" t="n"/>
      <c r="B62" s="7" t="n"/>
      <c r="C62" s="5" t="n"/>
      <c r="D62" s="11">
        <f>IF(OR(A62&lt;&gt;"",B62&gt;0),TODAY(),"")</f>
        <v/>
      </c>
      <c r="E62" s="12">
        <f>IF(A62="","",IFERROR(INDEX(XarajatNomi,MATCH(A62,XarajatKod,0)),"?"))</f>
        <v/>
      </c>
      <c r="F62" s="5" t="n"/>
    </row>
    <row r="63">
      <c r="A63" s="9" t="n"/>
      <c r="B63" s="7" t="n"/>
      <c r="C63" s="5" t="n"/>
      <c r="D63" s="11">
        <f>IF(OR(A63&lt;&gt;"",B63&gt;0),TODAY(),"")</f>
        <v/>
      </c>
      <c r="E63" s="12">
        <f>IF(A63="","",IFERROR(INDEX(XarajatNomi,MATCH(A63,XarajatKod,0)),"?"))</f>
        <v/>
      </c>
      <c r="F63" s="5" t="n"/>
    </row>
    <row r="64">
      <c r="A64" s="9" t="n"/>
      <c r="B64" s="7" t="n"/>
      <c r="C64" s="5" t="n"/>
      <c r="D64" s="11">
        <f>IF(OR(A64&lt;&gt;"",B64&gt;0),TODAY(),"")</f>
        <v/>
      </c>
      <c r="E64" s="12">
        <f>IF(A64="","",IFERROR(INDEX(XarajatNomi,MATCH(A64,XarajatKod,0)),"?"))</f>
        <v/>
      </c>
      <c r="F64" s="5" t="n"/>
    </row>
    <row r="65">
      <c r="A65" s="9" t="n"/>
      <c r="B65" s="7" t="n"/>
      <c r="C65" s="5" t="n"/>
      <c r="D65" s="11">
        <f>IF(OR(A65&lt;&gt;"",B65&gt;0),TODAY(),"")</f>
        <v/>
      </c>
      <c r="E65" s="12">
        <f>IF(A65="","",IFERROR(INDEX(XarajatNomi,MATCH(A65,XarajatKod,0)),"?"))</f>
        <v/>
      </c>
      <c r="F65" s="5" t="n"/>
    </row>
    <row r="66">
      <c r="A66" s="9" t="n"/>
      <c r="B66" s="7" t="n"/>
      <c r="C66" s="5" t="n"/>
      <c r="D66" s="11">
        <f>IF(OR(A66&lt;&gt;"",B66&gt;0),TODAY(),"")</f>
        <v/>
      </c>
      <c r="E66" s="12">
        <f>IF(A66="","",IFERROR(INDEX(XarajatNomi,MATCH(A66,XarajatKod,0)),"?"))</f>
        <v/>
      </c>
      <c r="F66" s="5" t="n"/>
    </row>
    <row r="67">
      <c r="A67" s="9" t="n"/>
      <c r="B67" s="7" t="n"/>
      <c r="C67" s="5" t="n"/>
      <c r="D67" s="11">
        <f>IF(OR(A67&lt;&gt;"",B67&gt;0),TODAY(),"")</f>
        <v/>
      </c>
      <c r="E67" s="12">
        <f>IF(A67="","",IFERROR(INDEX(XarajatNomi,MATCH(A67,XarajatKod,0)),"?"))</f>
        <v/>
      </c>
      <c r="F67" s="5" t="n"/>
    </row>
    <row r="68">
      <c r="A68" s="9" t="n"/>
      <c r="B68" s="7" t="n"/>
      <c r="C68" s="5" t="n"/>
      <c r="D68" s="11">
        <f>IF(OR(A68&lt;&gt;"",B68&gt;0),TODAY(),"")</f>
        <v/>
      </c>
      <c r="E68" s="12">
        <f>IF(A68="","",IFERROR(INDEX(XarajatNomi,MATCH(A68,XarajatKod,0)),"?"))</f>
        <v/>
      </c>
      <c r="F68" s="5" t="n"/>
    </row>
    <row r="69">
      <c r="A69" s="9" t="n"/>
      <c r="B69" s="7" t="n"/>
      <c r="C69" s="5" t="n"/>
      <c r="D69" s="11">
        <f>IF(OR(A69&lt;&gt;"",B69&gt;0),TODAY(),"")</f>
        <v/>
      </c>
      <c r="E69" s="12">
        <f>IF(A69="","",IFERROR(INDEX(XarajatNomi,MATCH(A69,XarajatKod,0)),"?"))</f>
        <v/>
      </c>
      <c r="F69" s="5" t="n"/>
    </row>
    <row r="70">
      <c r="A70" s="9" t="n"/>
      <c r="B70" s="7" t="n"/>
      <c r="C70" s="5" t="n"/>
      <c r="D70" s="11">
        <f>IF(OR(A70&lt;&gt;"",B70&gt;0),TODAY(),"")</f>
        <v/>
      </c>
      <c r="E70" s="12">
        <f>IF(A70="","",IFERROR(INDEX(XarajatNomi,MATCH(A70,XarajatKod,0)),"?"))</f>
        <v/>
      </c>
      <c r="F70" s="5" t="n"/>
    </row>
    <row r="71">
      <c r="A71" s="9" t="n"/>
      <c r="B71" s="7" t="n"/>
      <c r="C71" s="5" t="n"/>
      <c r="D71" s="11">
        <f>IF(OR(A71&lt;&gt;"",B71&gt;0),TODAY(),"")</f>
        <v/>
      </c>
      <c r="E71" s="12">
        <f>IF(A71="","",IFERROR(INDEX(XarajatNomi,MATCH(A71,XarajatKod,0)),"?"))</f>
        <v/>
      </c>
      <c r="F71" s="5" t="n"/>
    </row>
    <row r="72">
      <c r="A72" s="9" t="n"/>
      <c r="B72" s="7" t="n"/>
      <c r="C72" s="5" t="n"/>
      <c r="D72" s="11">
        <f>IF(OR(A72&lt;&gt;"",B72&gt;0),TODAY(),"")</f>
        <v/>
      </c>
      <c r="E72" s="12">
        <f>IF(A72="","",IFERROR(INDEX(XarajatNomi,MATCH(A72,XarajatKod,0)),"?"))</f>
        <v/>
      </c>
      <c r="F72" s="5" t="n"/>
    </row>
    <row r="73">
      <c r="A73" s="9" t="n"/>
      <c r="B73" s="7" t="n"/>
      <c r="C73" s="5" t="n"/>
      <c r="D73" s="11">
        <f>IF(OR(A73&lt;&gt;"",B73&gt;0),TODAY(),"")</f>
        <v/>
      </c>
      <c r="E73" s="12">
        <f>IF(A73="","",IFERROR(INDEX(XarajatNomi,MATCH(A73,XarajatKod,0)),"?"))</f>
        <v/>
      </c>
      <c r="F73" s="5" t="n"/>
    </row>
    <row r="74">
      <c r="A74" s="9" t="n"/>
      <c r="B74" s="7" t="n"/>
      <c r="C74" s="5" t="n"/>
      <c r="D74" s="11">
        <f>IF(OR(A74&lt;&gt;"",B74&gt;0),TODAY(),"")</f>
        <v/>
      </c>
      <c r="E74" s="12">
        <f>IF(A74="","",IFERROR(INDEX(XarajatNomi,MATCH(A74,XarajatKod,0)),"?"))</f>
        <v/>
      </c>
      <c r="F74" s="5" t="n"/>
    </row>
    <row r="75">
      <c r="A75" s="9" t="n"/>
      <c r="B75" s="7" t="n"/>
      <c r="C75" s="5" t="n"/>
      <c r="D75" s="11">
        <f>IF(OR(A75&lt;&gt;"",B75&gt;0),TODAY(),"")</f>
        <v/>
      </c>
      <c r="E75" s="12">
        <f>IF(A75="","",IFERROR(INDEX(XarajatNomi,MATCH(A75,XarajatKod,0)),"?"))</f>
        <v/>
      </c>
      <c r="F75" s="5" t="n"/>
    </row>
    <row r="76">
      <c r="A76" s="9" t="n"/>
      <c r="B76" s="7" t="n"/>
      <c r="C76" s="5" t="n"/>
      <c r="D76" s="11">
        <f>IF(OR(A76&lt;&gt;"",B76&gt;0),TODAY(),"")</f>
        <v/>
      </c>
      <c r="E76" s="12">
        <f>IF(A76="","",IFERROR(INDEX(XarajatNomi,MATCH(A76,XarajatKod,0)),"?"))</f>
        <v/>
      </c>
      <c r="F76" s="5" t="n"/>
    </row>
    <row r="77">
      <c r="A77" s="9" t="n"/>
      <c r="B77" s="7" t="n"/>
      <c r="C77" s="5" t="n"/>
      <c r="D77" s="11">
        <f>IF(OR(A77&lt;&gt;"",B77&gt;0),TODAY(),"")</f>
        <v/>
      </c>
      <c r="E77" s="12">
        <f>IF(A77="","",IFERROR(INDEX(XarajatNomi,MATCH(A77,XarajatKod,0)),"?"))</f>
        <v/>
      </c>
      <c r="F77" s="5" t="n"/>
    </row>
    <row r="78">
      <c r="A78" s="9" t="n"/>
      <c r="B78" s="7" t="n"/>
      <c r="C78" s="5" t="n"/>
      <c r="D78" s="11">
        <f>IF(OR(A78&lt;&gt;"",B78&gt;0),TODAY(),"")</f>
        <v/>
      </c>
      <c r="E78" s="12">
        <f>IF(A78="","",IFERROR(INDEX(XarajatNomi,MATCH(A78,XarajatKod,0)),"?"))</f>
        <v/>
      </c>
      <c r="F78" s="5" t="n"/>
    </row>
    <row r="79">
      <c r="A79" s="9" t="n"/>
      <c r="B79" s="7" t="n"/>
      <c r="C79" s="5" t="n"/>
      <c r="D79" s="11">
        <f>IF(OR(A79&lt;&gt;"",B79&gt;0),TODAY(),"")</f>
        <v/>
      </c>
      <c r="E79" s="12">
        <f>IF(A79="","",IFERROR(INDEX(XarajatNomi,MATCH(A79,XarajatKod,0)),"?"))</f>
        <v/>
      </c>
      <c r="F79" s="5" t="n"/>
    </row>
    <row r="80">
      <c r="A80" s="9" t="n"/>
      <c r="B80" s="7" t="n"/>
      <c r="C80" s="5" t="n"/>
      <c r="D80" s="11">
        <f>IF(OR(A80&lt;&gt;"",B80&gt;0),TODAY(),"")</f>
        <v/>
      </c>
      <c r="E80" s="12">
        <f>IF(A80="","",IFERROR(INDEX(XarajatNomi,MATCH(A80,XarajatKod,0)),"?"))</f>
        <v/>
      </c>
      <c r="F80" s="5" t="n"/>
    </row>
    <row r="81">
      <c r="A81" s="9" t="n"/>
      <c r="B81" s="7" t="n"/>
      <c r="C81" s="5" t="n"/>
      <c r="D81" s="11">
        <f>IF(OR(A81&lt;&gt;"",B81&gt;0),TODAY(),"")</f>
        <v/>
      </c>
      <c r="E81" s="12">
        <f>IF(A81="","",IFERROR(INDEX(XarajatNomi,MATCH(A81,XarajatKod,0)),"?"))</f>
        <v/>
      </c>
      <c r="F81" s="5" t="n"/>
    </row>
    <row r="82">
      <c r="A82" s="9" t="n"/>
      <c r="B82" s="7" t="n"/>
      <c r="C82" s="5" t="n"/>
      <c r="D82" s="11">
        <f>IF(OR(A82&lt;&gt;"",B82&gt;0),TODAY(),"")</f>
        <v/>
      </c>
      <c r="E82" s="12">
        <f>IF(A82="","",IFERROR(INDEX(XarajatNomi,MATCH(A82,XarajatKod,0)),"?"))</f>
        <v/>
      </c>
      <c r="F82" s="5" t="n"/>
    </row>
    <row r="83">
      <c r="A83" s="9" t="n"/>
      <c r="B83" s="7" t="n"/>
      <c r="C83" s="5" t="n"/>
      <c r="D83" s="11">
        <f>IF(OR(A83&lt;&gt;"",B83&gt;0),TODAY(),"")</f>
        <v/>
      </c>
      <c r="E83" s="12">
        <f>IF(A83="","",IFERROR(INDEX(XarajatNomi,MATCH(A83,XarajatKod,0)),"?"))</f>
        <v/>
      </c>
      <c r="F83" s="5" t="n"/>
    </row>
    <row r="84">
      <c r="A84" s="9" t="n"/>
      <c r="B84" s="7" t="n"/>
      <c r="C84" s="5" t="n"/>
      <c r="D84" s="11">
        <f>IF(OR(A84&lt;&gt;"",B84&gt;0),TODAY(),"")</f>
        <v/>
      </c>
      <c r="E84" s="12">
        <f>IF(A84="","",IFERROR(INDEX(XarajatNomi,MATCH(A84,XarajatKod,0)),"?"))</f>
        <v/>
      </c>
      <c r="F84" s="5" t="n"/>
    </row>
    <row r="85">
      <c r="A85" s="9" t="n"/>
      <c r="B85" s="7" t="n"/>
      <c r="C85" s="5" t="n"/>
      <c r="D85" s="11">
        <f>IF(OR(A85&lt;&gt;"",B85&gt;0),TODAY(),"")</f>
        <v/>
      </c>
      <c r="E85" s="12">
        <f>IF(A85="","",IFERROR(INDEX(XarajatNomi,MATCH(A85,XarajatKod,0)),"?"))</f>
        <v/>
      </c>
      <c r="F85" s="5" t="n"/>
    </row>
    <row r="86">
      <c r="A86" s="9" t="n"/>
      <c r="B86" s="7" t="n"/>
      <c r="C86" s="5" t="n"/>
      <c r="D86" s="11">
        <f>IF(OR(A86&lt;&gt;"",B86&gt;0),TODAY(),"")</f>
        <v/>
      </c>
      <c r="E86" s="12">
        <f>IF(A86="","",IFERROR(INDEX(XarajatNomi,MATCH(A86,XarajatKod,0)),"?"))</f>
        <v/>
      </c>
      <c r="F86" s="5" t="n"/>
    </row>
    <row r="87">
      <c r="A87" s="9" t="n"/>
      <c r="B87" s="7" t="n"/>
      <c r="C87" s="5" t="n"/>
      <c r="D87" s="11">
        <f>IF(OR(A87&lt;&gt;"",B87&gt;0),TODAY(),"")</f>
        <v/>
      </c>
      <c r="E87" s="12">
        <f>IF(A87="","",IFERROR(INDEX(XarajatNomi,MATCH(A87,XarajatKod,0)),"?"))</f>
        <v/>
      </c>
      <c r="F87" s="5" t="n"/>
    </row>
    <row r="88">
      <c r="A88" s="9" t="n"/>
      <c r="B88" s="7" t="n"/>
      <c r="C88" s="5" t="n"/>
      <c r="D88" s="11">
        <f>IF(OR(A88&lt;&gt;"",B88&gt;0),TODAY(),"")</f>
        <v/>
      </c>
      <c r="E88" s="12">
        <f>IF(A88="","",IFERROR(INDEX(XarajatNomi,MATCH(A88,XarajatKod,0)),"?"))</f>
        <v/>
      </c>
      <c r="F88" s="5" t="n"/>
    </row>
    <row r="89">
      <c r="A89" s="9" t="n"/>
      <c r="B89" s="7" t="n"/>
      <c r="C89" s="5" t="n"/>
      <c r="D89" s="11">
        <f>IF(OR(A89&lt;&gt;"",B89&gt;0),TODAY(),"")</f>
        <v/>
      </c>
      <c r="E89" s="12">
        <f>IF(A89="","",IFERROR(INDEX(XarajatNomi,MATCH(A89,XarajatKod,0)),"?"))</f>
        <v/>
      </c>
      <c r="F89" s="5" t="n"/>
    </row>
    <row r="90">
      <c r="A90" s="9" t="n"/>
      <c r="B90" s="7" t="n"/>
      <c r="C90" s="5" t="n"/>
      <c r="D90" s="11">
        <f>IF(OR(A90&lt;&gt;"",B90&gt;0),TODAY(),"")</f>
        <v/>
      </c>
      <c r="E90" s="12">
        <f>IF(A90="","",IFERROR(INDEX(XarajatNomi,MATCH(A90,XarajatKod,0)),"?"))</f>
        <v/>
      </c>
      <c r="F90" s="5" t="n"/>
    </row>
    <row r="91">
      <c r="A91" s="9" t="n"/>
      <c r="B91" s="7" t="n"/>
      <c r="C91" s="5" t="n"/>
      <c r="D91" s="11">
        <f>IF(OR(A91&lt;&gt;"",B91&gt;0),TODAY(),"")</f>
        <v/>
      </c>
      <c r="E91" s="12">
        <f>IF(A91="","",IFERROR(INDEX(XarajatNomi,MATCH(A91,XarajatKod,0)),"?"))</f>
        <v/>
      </c>
      <c r="F91" s="5" t="n"/>
    </row>
    <row r="92">
      <c r="A92" s="9" t="n"/>
      <c r="B92" s="7" t="n"/>
      <c r="C92" s="5" t="n"/>
      <c r="D92" s="11">
        <f>IF(OR(A92&lt;&gt;"",B92&gt;0),TODAY(),"")</f>
        <v/>
      </c>
      <c r="E92" s="12">
        <f>IF(A92="","",IFERROR(INDEX(XarajatNomi,MATCH(A92,XarajatKod,0)),"?"))</f>
        <v/>
      </c>
      <c r="F92" s="5" t="n"/>
    </row>
    <row r="93">
      <c r="A93" s="9" t="n"/>
      <c r="B93" s="7" t="n"/>
      <c r="C93" s="5" t="n"/>
      <c r="D93" s="11">
        <f>IF(OR(A93&lt;&gt;"",B93&gt;0),TODAY(),"")</f>
        <v/>
      </c>
      <c r="E93" s="12">
        <f>IF(A93="","",IFERROR(INDEX(XarajatNomi,MATCH(A93,XarajatKod,0)),"?"))</f>
        <v/>
      </c>
      <c r="F93" s="5" t="n"/>
    </row>
    <row r="94">
      <c r="A94" s="9" t="n"/>
      <c r="B94" s="7" t="n"/>
      <c r="C94" s="5" t="n"/>
      <c r="D94" s="11">
        <f>IF(OR(A94&lt;&gt;"",B94&gt;0),TODAY(),"")</f>
        <v/>
      </c>
      <c r="E94" s="12">
        <f>IF(A94="","",IFERROR(INDEX(XarajatNomi,MATCH(A94,XarajatKod,0)),"?"))</f>
        <v/>
      </c>
      <c r="F94" s="5" t="n"/>
    </row>
    <row r="95">
      <c r="A95" s="9" t="n"/>
      <c r="B95" s="7" t="n"/>
      <c r="C95" s="5" t="n"/>
      <c r="D95" s="11">
        <f>IF(OR(A95&lt;&gt;"",B95&gt;0),TODAY(),"")</f>
        <v/>
      </c>
      <c r="E95" s="12">
        <f>IF(A95="","",IFERROR(INDEX(XarajatNomi,MATCH(A95,XarajatKod,0)),"?"))</f>
        <v/>
      </c>
      <c r="F95" s="5" t="n"/>
    </row>
    <row r="96">
      <c r="A96" s="9" t="n"/>
      <c r="B96" s="7" t="n"/>
      <c r="C96" s="5" t="n"/>
      <c r="D96" s="11">
        <f>IF(OR(A96&lt;&gt;"",B96&gt;0),TODAY(),"")</f>
        <v/>
      </c>
      <c r="E96" s="12">
        <f>IF(A96="","",IFERROR(INDEX(XarajatNomi,MATCH(A96,XarajatKod,0)),"?"))</f>
        <v/>
      </c>
      <c r="F96" s="5" t="n"/>
    </row>
    <row r="97">
      <c r="A97" s="9" t="n"/>
      <c r="B97" s="7" t="n"/>
      <c r="C97" s="5" t="n"/>
      <c r="D97" s="11">
        <f>IF(OR(A97&lt;&gt;"",B97&gt;0),TODAY(),"")</f>
        <v/>
      </c>
      <c r="E97" s="12">
        <f>IF(A97="","",IFERROR(INDEX(XarajatNomi,MATCH(A97,XarajatKod,0)),"?"))</f>
        <v/>
      </c>
      <c r="F97" s="5" t="n"/>
    </row>
    <row r="98">
      <c r="A98" s="9" t="n"/>
      <c r="B98" s="7" t="n"/>
      <c r="C98" s="5" t="n"/>
      <c r="D98" s="11">
        <f>IF(OR(A98&lt;&gt;"",B98&gt;0),TODAY(),"")</f>
        <v/>
      </c>
      <c r="E98" s="12">
        <f>IF(A98="","",IFERROR(INDEX(XarajatNomi,MATCH(A98,XarajatKod,0)),"?"))</f>
        <v/>
      </c>
      <c r="F98" s="5" t="n"/>
    </row>
    <row r="99">
      <c r="A99" s="9" t="n"/>
      <c r="B99" s="7" t="n"/>
      <c r="C99" s="5" t="n"/>
      <c r="D99" s="11">
        <f>IF(OR(A99&lt;&gt;"",B99&gt;0),TODAY(),"")</f>
        <v/>
      </c>
      <c r="E99" s="12">
        <f>IF(A99="","",IFERROR(INDEX(XarajatNomi,MATCH(A99,XarajatKod,0)),"?"))</f>
        <v/>
      </c>
      <c r="F99" s="5" t="n"/>
    </row>
    <row r="100">
      <c r="A100" s="9" t="n"/>
      <c r="B100" s="7" t="n"/>
      <c r="C100" s="5" t="n"/>
      <c r="D100" s="11">
        <f>IF(OR(A100&lt;&gt;"",B100&gt;0),TODAY(),"")</f>
        <v/>
      </c>
      <c r="E100" s="12">
        <f>IF(A100="","",IFERROR(INDEX(XarajatNomi,MATCH(A100,XarajatKod,0)),"?"))</f>
        <v/>
      </c>
      <c r="F100" s="5" t="n"/>
    </row>
    <row r="101">
      <c r="A101" s="9" t="n"/>
      <c r="B101" s="7" t="n"/>
      <c r="C101" s="5" t="n"/>
      <c r="D101" s="11">
        <f>IF(OR(A101&lt;&gt;"",B101&gt;0),TODAY(),"")</f>
        <v/>
      </c>
      <c r="E101" s="12">
        <f>IF(A101="","",IFERROR(INDEX(XarajatNomi,MATCH(A101,XarajatKod,0)),"?"))</f>
        <v/>
      </c>
      <c r="F101" s="5" t="n"/>
    </row>
    <row r="102">
      <c r="A102" s="9" t="n"/>
      <c r="B102" s="7" t="n"/>
      <c r="C102" s="5" t="n"/>
      <c r="D102" s="11">
        <f>IF(OR(A102&lt;&gt;"",B102&gt;0),TODAY(),"")</f>
        <v/>
      </c>
      <c r="E102" s="12">
        <f>IF(A102="","",IFERROR(INDEX(XarajatNomi,MATCH(A102,XarajatKod,0)),"?"))</f>
        <v/>
      </c>
      <c r="F102" s="5" t="n"/>
    </row>
    <row r="103">
      <c r="A103" s="9" t="n"/>
      <c r="B103" s="7" t="n"/>
      <c r="C103" s="5" t="n"/>
      <c r="D103" s="11">
        <f>IF(OR(A103&lt;&gt;"",B103&gt;0),TODAY(),"")</f>
        <v/>
      </c>
      <c r="E103" s="12">
        <f>IF(A103="","",IFERROR(INDEX(XarajatNomi,MATCH(A103,XarajatKod,0)),"?"))</f>
        <v/>
      </c>
      <c r="F103" s="5" t="n"/>
    </row>
    <row r="104">
      <c r="A104" s="9" t="n"/>
      <c r="B104" s="7" t="n"/>
      <c r="C104" s="5" t="n"/>
      <c r="D104" s="11">
        <f>IF(OR(A104&lt;&gt;"",B104&gt;0),TODAY(),"")</f>
        <v/>
      </c>
      <c r="E104" s="12">
        <f>IF(A104="","",IFERROR(INDEX(XarajatNomi,MATCH(A104,XarajatKod,0)),"?"))</f>
        <v/>
      </c>
      <c r="F104" s="5" t="n"/>
    </row>
  </sheetData>
  <mergeCells count="2">
    <mergeCell ref="A2:F2"/>
    <mergeCell ref="A1:F1"/>
  </mergeCells>
  <pageMargins left="0.5" right="0.5" top="0.6" bottom="0.6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8" customWidth="1" min="5" max="5"/>
    <col width="10" customWidth="1" min="6" max="6"/>
  </cols>
  <sheetData>
    <row r="1" ht="28" customHeight="1">
      <c r="A1" s="1" t="inlineStr">
        <is>
          <t>Tovarga pul</t>
        </is>
      </c>
    </row>
    <row r="2" ht="36" customHeight="1">
      <c r="A2" s="2" t="inlineStr">
        <is>
          <t>Yetkazuvchi Kod + Summa (masalan JA va 450000). Sana va ism avtomatik.</t>
        </is>
      </c>
    </row>
    <row r="4" ht="32" customHeight="1">
      <c r="A4" s="3" t="inlineStr">
        <is>
          <t>Kod</t>
        </is>
      </c>
      <c r="B4" s="3" t="inlineStr">
        <is>
          <t>Summa</t>
        </is>
      </c>
      <c r="C4" s="3" t="inlineStr">
        <is>
          <t>Izoh</t>
        </is>
      </c>
      <c r="D4" s="3" t="inlineStr">
        <is>
          <t>Sana</t>
        </is>
      </c>
      <c r="E4" s="3" t="inlineStr">
        <is>
          <t>Yetkazuvchi</t>
        </is>
      </c>
      <c r="F4" s="3" t="inlineStr">
        <is>
          <t>Belgi</t>
        </is>
      </c>
    </row>
    <row r="5">
      <c r="A5" s="9" t="inlineStr">
        <is>
          <t>JA</t>
        </is>
      </c>
      <c r="B5" s="7" t="n">
        <v>450000</v>
      </c>
      <c r="C5" s="5" t="inlineStr">
        <is>
          <t>Kartoshka, piyoz</t>
        </is>
      </c>
      <c r="D5" s="11" t="n">
        <v>46235</v>
      </c>
      <c r="E5" s="12">
        <f>IF(A5="","",IFERROR(INDEX(YetkazuvchiIsm,MATCH(A5,YetkazuvchiKod,0)),"?"))</f>
        <v/>
      </c>
      <c r="F5" s="13" t="inlineStr">
        <is>
          <t>Namuna</t>
        </is>
      </c>
    </row>
    <row r="6">
      <c r="A6" s="9" t="inlineStr">
        <is>
          <t>BAZAR</t>
        </is>
      </c>
      <c r="B6" s="7" t="n">
        <v>200000</v>
      </c>
      <c r="C6" s="5" t="inlineStr">
        <is>
          <t>Sabzavot</t>
        </is>
      </c>
      <c r="D6" s="11" t="n">
        <v>46237</v>
      </c>
      <c r="E6" s="12">
        <f>IF(A6="","",IFERROR(INDEX(YetkazuvchiIsm,MATCH(A6,YetkazuvchiKod,0)),"?"))</f>
        <v/>
      </c>
      <c r="F6" s="13" t="inlineStr">
        <is>
          <t>Namuna</t>
        </is>
      </c>
    </row>
    <row r="7">
      <c r="A7" s="9" t="n"/>
      <c r="B7" s="7" t="n"/>
      <c r="C7" s="5" t="n"/>
      <c r="D7" s="11">
        <f>IF(OR(A7&lt;&gt;"",B7&gt;0),TODAY(),"")</f>
        <v/>
      </c>
      <c r="E7" s="12">
        <f>IF(A7="","",IFERROR(INDEX(YetkazuvchiIsm,MATCH(A7,YetkazuvchiKod,0)),"?"))</f>
        <v/>
      </c>
      <c r="F7" s="5" t="n"/>
    </row>
    <row r="8">
      <c r="A8" s="9" t="n"/>
      <c r="B8" s="7" t="n"/>
      <c r="C8" s="5" t="n"/>
      <c r="D8" s="11">
        <f>IF(OR(A8&lt;&gt;"",B8&gt;0),TODAY(),"")</f>
        <v/>
      </c>
      <c r="E8" s="12">
        <f>IF(A8="","",IFERROR(INDEX(YetkazuvchiIsm,MATCH(A8,YetkazuvchiKod,0)),"?"))</f>
        <v/>
      </c>
      <c r="F8" s="5" t="n"/>
    </row>
    <row r="9">
      <c r="A9" s="9" t="n"/>
      <c r="B9" s="7" t="n"/>
      <c r="C9" s="5" t="n"/>
      <c r="D9" s="11">
        <f>IF(OR(A9&lt;&gt;"",B9&gt;0),TODAY(),"")</f>
        <v/>
      </c>
      <c r="E9" s="12">
        <f>IF(A9="","",IFERROR(INDEX(YetkazuvchiIsm,MATCH(A9,YetkazuvchiKod,0)),"?"))</f>
        <v/>
      </c>
      <c r="F9" s="5" t="n"/>
    </row>
    <row r="10">
      <c r="A10" s="9" t="n"/>
      <c r="B10" s="7" t="n"/>
      <c r="C10" s="5" t="n"/>
      <c r="D10" s="11">
        <f>IF(OR(A10&lt;&gt;"",B10&gt;0),TODAY(),"")</f>
        <v/>
      </c>
      <c r="E10" s="12">
        <f>IF(A10="","",IFERROR(INDEX(YetkazuvchiIsm,MATCH(A10,YetkazuvchiKod,0)),"?"))</f>
        <v/>
      </c>
      <c r="F10" s="5" t="n"/>
    </row>
    <row r="11">
      <c r="A11" s="9" t="n"/>
      <c r="B11" s="7" t="n"/>
      <c r="C11" s="5" t="n"/>
      <c r="D11" s="11">
        <f>IF(OR(A11&lt;&gt;"",B11&gt;0),TODAY(),"")</f>
        <v/>
      </c>
      <c r="E11" s="12">
        <f>IF(A11="","",IFERROR(INDEX(YetkazuvchiIsm,MATCH(A11,YetkazuvchiKod,0)),"?"))</f>
        <v/>
      </c>
      <c r="F11" s="5" t="n"/>
    </row>
    <row r="12">
      <c r="A12" s="9" t="n"/>
      <c r="B12" s="7" t="n"/>
      <c r="C12" s="5" t="n"/>
      <c r="D12" s="11">
        <f>IF(OR(A12&lt;&gt;"",B12&gt;0),TODAY(),"")</f>
        <v/>
      </c>
      <c r="E12" s="12">
        <f>IF(A12="","",IFERROR(INDEX(YetkazuvchiIsm,MATCH(A12,YetkazuvchiKod,0)),"?"))</f>
        <v/>
      </c>
      <c r="F12" s="5" t="n"/>
    </row>
    <row r="13">
      <c r="A13" s="9" t="n"/>
      <c r="B13" s="7" t="n"/>
      <c r="C13" s="5" t="n"/>
      <c r="D13" s="11">
        <f>IF(OR(A13&lt;&gt;"",B13&gt;0),TODAY(),"")</f>
        <v/>
      </c>
      <c r="E13" s="12">
        <f>IF(A13="","",IFERROR(INDEX(YetkazuvchiIsm,MATCH(A13,YetkazuvchiKod,0)),"?"))</f>
        <v/>
      </c>
      <c r="F13" s="5" t="n"/>
    </row>
    <row r="14">
      <c r="A14" s="9" t="n"/>
      <c r="B14" s="7" t="n"/>
      <c r="C14" s="5" t="n"/>
      <c r="D14" s="11">
        <f>IF(OR(A14&lt;&gt;"",B14&gt;0),TODAY(),"")</f>
        <v/>
      </c>
      <c r="E14" s="12">
        <f>IF(A14="","",IFERROR(INDEX(YetkazuvchiIsm,MATCH(A14,YetkazuvchiKod,0)),"?"))</f>
        <v/>
      </c>
      <c r="F14" s="5" t="n"/>
    </row>
    <row r="15">
      <c r="A15" s="9" t="n"/>
      <c r="B15" s="7" t="n"/>
      <c r="C15" s="5" t="n"/>
      <c r="D15" s="11">
        <f>IF(OR(A15&lt;&gt;"",B15&gt;0),TODAY(),"")</f>
        <v/>
      </c>
      <c r="E15" s="12">
        <f>IF(A15="","",IFERROR(INDEX(YetkazuvchiIsm,MATCH(A15,YetkazuvchiKod,0)),"?"))</f>
        <v/>
      </c>
      <c r="F15" s="5" t="n"/>
    </row>
    <row r="16">
      <c r="A16" s="9" t="n"/>
      <c r="B16" s="7" t="n"/>
      <c r="C16" s="5" t="n"/>
      <c r="D16" s="11">
        <f>IF(OR(A16&lt;&gt;"",B16&gt;0),TODAY(),"")</f>
        <v/>
      </c>
      <c r="E16" s="12">
        <f>IF(A16="","",IFERROR(INDEX(YetkazuvchiIsm,MATCH(A16,YetkazuvchiKod,0)),"?"))</f>
        <v/>
      </c>
      <c r="F16" s="5" t="n"/>
    </row>
    <row r="17">
      <c r="A17" s="9" t="n"/>
      <c r="B17" s="7" t="n"/>
      <c r="C17" s="5" t="n"/>
      <c r="D17" s="11">
        <f>IF(OR(A17&lt;&gt;"",B17&gt;0),TODAY(),"")</f>
        <v/>
      </c>
      <c r="E17" s="12">
        <f>IF(A17="","",IFERROR(INDEX(YetkazuvchiIsm,MATCH(A17,YetkazuvchiKod,0)),"?"))</f>
        <v/>
      </c>
      <c r="F17" s="5" t="n"/>
    </row>
    <row r="18">
      <c r="A18" s="9" t="n"/>
      <c r="B18" s="7" t="n"/>
      <c r="C18" s="5" t="n"/>
      <c r="D18" s="11">
        <f>IF(OR(A18&lt;&gt;"",B18&gt;0),TODAY(),"")</f>
        <v/>
      </c>
      <c r="E18" s="12">
        <f>IF(A18="","",IFERROR(INDEX(YetkazuvchiIsm,MATCH(A18,YetkazuvchiKod,0)),"?"))</f>
        <v/>
      </c>
      <c r="F18" s="5" t="n"/>
    </row>
    <row r="19">
      <c r="A19" s="9" t="n"/>
      <c r="B19" s="7" t="n"/>
      <c r="C19" s="5" t="n"/>
      <c r="D19" s="11">
        <f>IF(OR(A19&lt;&gt;"",B19&gt;0),TODAY(),"")</f>
        <v/>
      </c>
      <c r="E19" s="12">
        <f>IF(A19="","",IFERROR(INDEX(YetkazuvchiIsm,MATCH(A19,YetkazuvchiKod,0)),"?"))</f>
        <v/>
      </c>
      <c r="F19" s="5" t="n"/>
    </row>
    <row r="20">
      <c r="A20" s="9" t="n"/>
      <c r="B20" s="7" t="n"/>
      <c r="C20" s="5" t="n"/>
      <c r="D20" s="11">
        <f>IF(OR(A20&lt;&gt;"",B20&gt;0),TODAY(),"")</f>
        <v/>
      </c>
      <c r="E20" s="12">
        <f>IF(A20="","",IFERROR(INDEX(YetkazuvchiIsm,MATCH(A20,YetkazuvchiKod,0)),"?"))</f>
        <v/>
      </c>
      <c r="F20" s="5" t="n"/>
    </row>
    <row r="21">
      <c r="A21" s="9" t="n"/>
      <c r="B21" s="7" t="n"/>
      <c r="C21" s="5" t="n"/>
      <c r="D21" s="11">
        <f>IF(OR(A21&lt;&gt;"",B21&gt;0),TODAY(),"")</f>
        <v/>
      </c>
      <c r="E21" s="12">
        <f>IF(A21="","",IFERROR(INDEX(YetkazuvchiIsm,MATCH(A21,YetkazuvchiKod,0)),"?"))</f>
        <v/>
      </c>
      <c r="F21" s="5" t="n"/>
    </row>
    <row r="22">
      <c r="A22" s="9" t="n"/>
      <c r="B22" s="7" t="n"/>
      <c r="C22" s="5" t="n"/>
      <c r="D22" s="11">
        <f>IF(OR(A22&lt;&gt;"",B22&gt;0),TODAY(),"")</f>
        <v/>
      </c>
      <c r="E22" s="12">
        <f>IF(A22="","",IFERROR(INDEX(YetkazuvchiIsm,MATCH(A22,YetkazuvchiKod,0)),"?"))</f>
        <v/>
      </c>
      <c r="F22" s="5" t="n"/>
    </row>
    <row r="23">
      <c r="A23" s="9" t="n"/>
      <c r="B23" s="7" t="n"/>
      <c r="C23" s="5" t="n"/>
      <c r="D23" s="11">
        <f>IF(OR(A23&lt;&gt;"",B23&gt;0),TODAY(),"")</f>
        <v/>
      </c>
      <c r="E23" s="12">
        <f>IF(A23="","",IFERROR(INDEX(YetkazuvchiIsm,MATCH(A23,YetkazuvchiKod,0)),"?"))</f>
        <v/>
      </c>
      <c r="F23" s="5" t="n"/>
    </row>
    <row r="24">
      <c r="A24" s="9" t="n"/>
      <c r="B24" s="7" t="n"/>
      <c r="C24" s="5" t="n"/>
      <c r="D24" s="11">
        <f>IF(OR(A24&lt;&gt;"",B24&gt;0),TODAY(),"")</f>
        <v/>
      </c>
      <c r="E24" s="12">
        <f>IF(A24="","",IFERROR(INDEX(YetkazuvchiIsm,MATCH(A24,YetkazuvchiKod,0)),"?"))</f>
        <v/>
      </c>
      <c r="F24" s="5" t="n"/>
    </row>
    <row r="25">
      <c r="A25" s="9" t="n"/>
      <c r="B25" s="7" t="n"/>
      <c r="C25" s="5" t="n"/>
      <c r="D25" s="11">
        <f>IF(OR(A25&lt;&gt;"",B25&gt;0),TODAY(),"")</f>
        <v/>
      </c>
      <c r="E25" s="12">
        <f>IF(A25="","",IFERROR(INDEX(YetkazuvchiIsm,MATCH(A25,YetkazuvchiKod,0)),"?"))</f>
        <v/>
      </c>
      <c r="F25" s="5" t="n"/>
    </row>
    <row r="26">
      <c r="A26" s="9" t="n"/>
      <c r="B26" s="7" t="n"/>
      <c r="C26" s="5" t="n"/>
      <c r="D26" s="11">
        <f>IF(OR(A26&lt;&gt;"",B26&gt;0),TODAY(),"")</f>
        <v/>
      </c>
      <c r="E26" s="12">
        <f>IF(A26="","",IFERROR(INDEX(YetkazuvchiIsm,MATCH(A26,YetkazuvchiKod,0)),"?"))</f>
        <v/>
      </c>
      <c r="F26" s="5" t="n"/>
    </row>
    <row r="27">
      <c r="A27" s="9" t="n"/>
      <c r="B27" s="7" t="n"/>
      <c r="C27" s="5" t="n"/>
      <c r="D27" s="11">
        <f>IF(OR(A27&lt;&gt;"",B27&gt;0),TODAY(),"")</f>
        <v/>
      </c>
      <c r="E27" s="12">
        <f>IF(A27="","",IFERROR(INDEX(YetkazuvchiIsm,MATCH(A27,YetkazuvchiKod,0)),"?"))</f>
        <v/>
      </c>
      <c r="F27" s="5" t="n"/>
    </row>
    <row r="28">
      <c r="A28" s="9" t="n"/>
      <c r="B28" s="7" t="n"/>
      <c r="C28" s="5" t="n"/>
      <c r="D28" s="11">
        <f>IF(OR(A28&lt;&gt;"",B28&gt;0),TODAY(),"")</f>
        <v/>
      </c>
      <c r="E28" s="12">
        <f>IF(A28="","",IFERROR(INDEX(YetkazuvchiIsm,MATCH(A28,YetkazuvchiKod,0)),"?"))</f>
        <v/>
      </c>
      <c r="F28" s="5" t="n"/>
    </row>
    <row r="29">
      <c r="A29" s="9" t="n"/>
      <c r="B29" s="7" t="n"/>
      <c r="C29" s="5" t="n"/>
      <c r="D29" s="11">
        <f>IF(OR(A29&lt;&gt;"",B29&gt;0),TODAY(),"")</f>
        <v/>
      </c>
      <c r="E29" s="12">
        <f>IF(A29="","",IFERROR(INDEX(YetkazuvchiIsm,MATCH(A29,YetkazuvchiKod,0)),"?"))</f>
        <v/>
      </c>
      <c r="F29" s="5" t="n"/>
    </row>
    <row r="30">
      <c r="A30" s="9" t="n"/>
      <c r="B30" s="7" t="n"/>
      <c r="C30" s="5" t="n"/>
      <c r="D30" s="11">
        <f>IF(OR(A30&lt;&gt;"",B30&gt;0),TODAY(),"")</f>
        <v/>
      </c>
      <c r="E30" s="12">
        <f>IF(A30="","",IFERROR(INDEX(YetkazuvchiIsm,MATCH(A30,YetkazuvchiKod,0)),"?"))</f>
        <v/>
      </c>
      <c r="F30" s="5" t="n"/>
    </row>
    <row r="31">
      <c r="A31" s="9" t="n"/>
      <c r="B31" s="7" t="n"/>
      <c r="C31" s="5" t="n"/>
      <c r="D31" s="11">
        <f>IF(OR(A31&lt;&gt;"",B31&gt;0),TODAY(),"")</f>
        <v/>
      </c>
      <c r="E31" s="12">
        <f>IF(A31="","",IFERROR(INDEX(YetkazuvchiIsm,MATCH(A31,YetkazuvchiKod,0)),"?"))</f>
        <v/>
      </c>
      <c r="F31" s="5" t="n"/>
    </row>
    <row r="32">
      <c r="A32" s="9" t="n"/>
      <c r="B32" s="7" t="n"/>
      <c r="C32" s="5" t="n"/>
      <c r="D32" s="11">
        <f>IF(OR(A32&lt;&gt;"",B32&gt;0),TODAY(),"")</f>
        <v/>
      </c>
      <c r="E32" s="12">
        <f>IF(A32="","",IFERROR(INDEX(YetkazuvchiIsm,MATCH(A32,YetkazuvchiKod,0)),"?"))</f>
        <v/>
      </c>
      <c r="F32" s="5" t="n"/>
    </row>
    <row r="33">
      <c r="A33" s="9" t="n"/>
      <c r="B33" s="7" t="n"/>
      <c r="C33" s="5" t="n"/>
      <c r="D33" s="11">
        <f>IF(OR(A33&lt;&gt;"",B33&gt;0),TODAY(),"")</f>
        <v/>
      </c>
      <c r="E33" s="12">
        <f>IF(A33="","",IFERROR(INDEX(YetkazuvchiIsm,MATCH(A33,YetkazuvchiKod,0)),"?"))</f>
        <v/>
      </c>
      <c r="F33" s="5" t="n"/>
    </row>
    <row r="34">
      <c r="A34" s="9" t="n"/>
      <c r="B34" s="7" t="n"/>
      <c r="C34" s="5" t="n"/>
      <c r="D34" s="11">
        <f>IF(OR(A34&lt;&gt;"",B34&gt;0),TODAY(),"")</f>
        <v/>
      </c>
      <c r="E34" s="12">
        <f>IF(A34="","",IFERROR(INDEX(YetkazuvchiIsm,MATCH(A34,YetkazuvchiKod,0)),"?"))</f>
        <v/>
      </c>
      <c r="F34" s="5" t="n"/>
    </row>
    <row r="35">
      <c r="A35" s="9" t="n"/>
      <c r="B35" s="7" t="n"/>
      <c r="C35" s="5" t="n"/>
      <c r="D35" s="11">
        <f>IF(OR(A35&lt;&gt;"",B35&gt;0),TODAY(),"")</f>
        <v/>
      </c>
      <c r="E35" s="12">
        <f>IF(A35="","",IFERROR(INDEX(YetkazuvchiIsm,MATCH(A35,YetkazuvchiKod,0)),"?"))</f>
        <v/>
      </c>
      <c r="F35" s="5" t="n"/>
    </row>
    <row r="36">
      <c r="A36" s="9" t="n"/>
      <c r="B36" s="7" t="n"/>
      <c r="C36" s="5" t="n"/>
      <c r="D36" s="11">
        <f>IF(OR(A36&lt;&gt;"",B36&gt;0),TODAY(),"")</f>
        <v/>
      </c>
      <c r="E36" s="12">
        <f>IF(A36="","",IFERROR(INDEX(YetkazuvchiIsm,MATCH(A36,YetkazuvchiKod,0)),"?"))</f>
        <v/>
      </c>
      <c r="F36" s="5" t="n"/>
    </row>
    <row r="37">
      <c r="A37" s="9" t="n"/>
      <c r="B37" s="7" t="n"/>
      <c r="C37" s="5" t="n"/>
      <c r="D37" s="11">
        <f>IF(OR(A37&lt;&gt;"",B37&gt;0),TODAY(),"")</f>
        <v/>
      </c>
      <c r="E37" s="12">
        <f>IF(A37="","",IFERROR(INDEX(YetkazuvchiIsm,MATCH(A37,YetkazuvchiKod,0)),"?"))</f>
        <v/>
      </c>
      <c r="F37" s="5" t="n"/>
    </row>
    <row r="38">
      <c r="A38" s="9" t="n"/>
      <c r="B38" s="7" t="n"/>
      <c r="C38" s="5" t="n"/>
      <c r="D38" s="11">
        <f>IF(OR(A38&lt;&gt;"",B38&gt;0),TODAY(),"")</f>
        <v/>
      </c>
      <c r="E38" s="12">
        <f>IF(A38="","",IFERROR(INDEX(YetkazuvchiIsm,MATCH(A38,YetkazuvchiKod,0)),"?"))</f>
        <v/>
      </c>
      <c r="F38" s="5" t="n"/>
    </row>
    <row r="39">
      <c r="A39" s="9" t="n"/>
      <c r="B39" s="7" t="n"/>
      <c r="C39" s="5" t="n"/>
      <c r="D39" s="11">
        <f>IF(OR(A39&lt;&gt;"",B39&gt;0),TODAY(),"")</f>
        <v/>
      </c>
      <c r="E39" s="12">
        <f>IF(A39="","",IFERROR(INDEX(YetkazuvchiIsm,MATCH(A39,YetkazuvchiKod,0)),"?"))</f>
        <v/>
      </c>
      <c r="F39" s="5" t="n"/>
    </row>
    <row r="40">
      <c r="A40" s="9" t="n"/>
      <c r="B40" s="7" t="n"/>
      <c r="C40" s="5" t="n"/>
      <c r="D40" s="11">
        <f>IF(OR(A40&lt;&gt;"",B40&gt;0),TODAY(),"")</f>
        <v/>
      </c>
      <c r="E40" s="12">
        <f>IF(A40="","",IFERROR(INDEX(YetkazuvchiIsm,MATCH(A40,YetkazuvchiKod,0)),"?"))</f>
        <v/>
      </c>
      <c r="F40" s="5" t="n"/>
    </row>
    <row r="41">
      <c r="A41" s="9" t="n"/>
      <c r="B41" s="7" t="n"/>
      <c r="C41" s="5" t="n"/>
      <c r="D41" s="11">
        <f>IF(OR(A41&lt;&gt;"",B41&gt;0),TODAY(),"")</f>
        <v/>
      </c>
      <c r="E41" s="12">
        <f>IF(A41="","",IFERROR(INDEX(YetkazuvchiIsm,MATCH(A41,YetkazuvchiKod,0)),"?"))</f>
        <v/>
      </c>
      <c r="F41" s="5" t="n"/>
    </row>
    <row r="42">
      <c r="A42" s="9" t="n"/>
      <c r="B42" s="7" t="n"/>
      <c r="C42" s="5" t="n"/>
      <c r="D42" s="11">
        <f>IF(OR(A42&lt;&gt;"",B42&gt;0),TODAY(),"")</f>
        <v/>
      </c>
      <c r="E42" s="12">
        <f>IF(A42="","",IFERROR(INDEX(YetkazuvchiIsm,MATCH(A42,YetkazuvchiKod,0)),"?"))</f>
        <v/>
      </c>
      <c r="F42" s="5" t="n"/>
    </row>
    <row r="43">
      <c r="A43" s="9" t="n"/>
      <c r="B43" s="7" t="n"/>
      <c r="C43" s="5" t="n"/>
      <c r="D43" s="11">
        <f>IF(OR(A43&lt;&gt;"",B43&gt;0),TODAY(),"")</f>
        <v/>
      </c>
      <c r="E43" s="12">
        <f>IF(A43="","",IFERROR(INDEX(YetkazuvchiIsm,MATCH(A43,YetkazuvchiKod,0)),"?"))</f>
        <v/>
      </c>
      <c r="F43" s="5" t="n"/>
    </row>
    <row r="44">
      <c r="A44" s="9" t="n"/>
      <c r="B44" s="7" t="n"/>
      <c r="C44" s="5" t="n"/>
      <c r="D44" s="11">
        <f>IF(OR(A44&lt;&gt;"",B44&gt;0),TODAY(),"")</f>
        <v/>
      </c>
      <c r="E44" s="12">
        <f>IF(A44="","",IFERROR(INDEX(YetkazuvchiIsm,MATCH(A44,YetkazuvchiKod,0)),"?"))</f>
        <v/>
      </c>
      <c r="F44" s="5" t="n"/>
    </row>
    <row r="45">
      <c r="A45" s="9" t="n"/>
      <c r="B45" s="7" t="n"/>
      <c r="C45" s="5" t="n"/>
      <c r="D45" s="11">
        <f>IF(OR(A45&lt;&gt;"",B45&gt;0),TODAY(),"")</f>
        <v/>
      </c>
      <c r="E45" s="12">
        <f>IF(A45="","",IFERROR(INDEX(YetkazuvchiIsm,MATCH(A45,YetkazuvchiKod,0)),"?"))</f>
        <v/>
      </c>
      <c r="F45" s="5" t="n"/>
    </row>
    <row r="46">
      <c r="A46" s="9" t="n"/>
      <c r="B46" s="7" t="n"/>
      <c r="C46" s="5" t="n"/>
      <c r="D46" s="11">
        <f>IF(OR(A46&lt;&gt;"",B46&gt;0),TODAY(),"")</f>
        <v/>
      </c>
      <c r="E46" s="12">
        <f>IF(A46="","",IFERROR(INDEX(YetkazuvchiIsm,MATCH(A46,YetkazuvchiKod,0)),"?"))</f>
        <v/>
      </c>
      <c r="F46" s="5" t="n"/>
    </row>
    <row r="47">
      <c r="A47" s="9" t="n"/>
      <c r="B47" s="7" t="n"/>
      <c r="C47" s="5" t="n"/>
      <c r="D47" s="11">
        <f>IF(OR(A47&lt;&gt;"",B47&gt;0),TODAY(),"")</f>
        <v/>
      </c>
      <c r="E47" s="12">
        <f>IF(A47="","",IFERROR(INDEX(YetkazuvchiIsm,MATCH(A47,YetkazuvchiKod,0)),"?"))</f>
        <v/>
      </c>
      <c r="F47" s="5" t="n"/>
    </row>
    <row r="48">
      <c r="A48" s="9" t="n"/>
      <c r="B48" s="7" t="n"/>
      <c r="C48" s="5" t="n"/>
      <c r="D48" s="11">
        <f>IF(OR(A48&lt;&gt;"",B48&gt;0),TODAY(),"")</f>
        <v/>
      </c>
      <c r="E48" s="12">
        <f>IF(A48="","",IFERROR(INDEX(YetkazuvchiIsm,MATCH(A48,YetkazuvchiKod,0)),"?"))</f>
        <v/>
      </c>
      <c r="F48" s="5" t="n"/>
    </row>
    <row r="49">
      <c r="A49" s="9" t="n"/>
      <c r="B49" s="7" t="n"/>
      <c r="C49" s="5" t="n"/>
      <c r="D49" s="11">
        <f>IF(OR(A49&lt;&gt;"",B49&gt;0),TODAY(),"")</f>
        <v/>
      </c>
      <c r="E49" s="12">
        <f>IF(A49="","",IFERROR(INDEX(YetkazuvchiIsm,MATCH(A49,YetkazuvchiKod,0)),"?"))</f>
        <v/>
      </c>
      <c r="F49" s="5" t="n"/>
    </row>
    <row r="50">
      <c r="A50" s="9" t="n"/>
      <c r="B50" s="7" t="n"/>
      <c r="C50" s="5" t="n"/>
      <c r="D50" s="11">
        <f>IF(OR(A50&lt;&gt;"",B50&gt;0),TODAY(),"")</f>
        <v/>
      </c>
      <c r="E50" s="12">
        <f>IF(A50="","",IFERROR(INDEX(YetkazuvchiIsm,MATCH(A50,YetkazuvchiKod,0)),"?"))</f>
        <v/>
      </c>
      <c r="F50" s="5" t="n"/>
    </row>
    <row r="51">
      <c r="A51" s="9" t="n"/>
      <c r="B51" s="7" t="n"/>
      <c r="C51" s="5" t="n"/>
      <c r="D51" s="11">
        <f>IF(OR(A51&lt;&gt;"",B51&gt;0),TODAY(),"")</f>
        <v/>
      </c>
      <c r="E51" s="12">
        <f>IF(A51="","",IFERROR(INDEX(YetkazuvchiIsm,MATCH(A51,YetkazuvchiKod,0)),"?"))</f>
        <v/>
      </c>
      <c r="F51" s="5" t="n"/>
    </row>
    <row r="52">
      <c r="A52" s="9" t="n"/>
      <c r="B52" s="7" t="n"/>
      <c r="C52" s="5" t="n"/>
      <c r="D52" s="11">
        <f>IF(OR(A52&lt;&gt;"",B52&gt;0),TODAY(),"")</f>
        <v/>
      </c>
      <c r="E52" s="12">
        <f>IF(A52="","",IFERROR(INDEX(YetkazuvchiIsm,MATCH(A52,YetkazuvchiKod,0)),"?"))</f>
        <v/>
      </c>
      <c r="F52" s="5" t="n"/>
    </row>
    <row r="53">
      <c r="A53" s="9" t="n"/>
      <c r="B53" s="7" t="n"/>
      <c r="C53" s="5" t="n"/>
      <c r="D53" s="11">
        <f>IF(OR(A53&lt;&gt;"",B53&gt;0),TODAY(),"")</f>
        <v/>
      </c>
      <c r="E53" s="12">
        <f>IF(A53="","",IFERROR(INDEX(YetkazuvchiIsm,MATCH(A53,YetkazuvchiKod,0)),"?"))</f>
        <v/>
      </c>
      <c r="F53" s="5" t="n"/>
    </row>
    <row r="54">
      <c r="A54" s="9" t="n"/>
      <c r="B54" s="7" t="n"/>
      <c r="C54" s="5" t="n"/>
      <c r="D54" s="11">
        <f>IF(OR(A54&lt;&gt;"",B54&gt;0),TODAY(),"")</f>
        <v/>
      </c>
      <c r="E54" s="12">
        <f>IF(A54="","",IFERROR(INDEX(YetkazuvchiIsm,MATCH(A54,YetkazuvchiKod,0)),"?"))</f>
        <v/>
      </c>
      <c r="F54" s="5" t="n"/>
    </row>
    <row r="55">
      <c r="A55" s="9" t="n"/>
      <c r="B55" s="7" t="n"/>
      <c r="C55" s="5" t="n"/>
      <c r="D55" s="11">
        <f>IF(OR(A55&lt;&gt;"",B55&gt;0),TODAY(),"")</f>
        <v/>
      </c>
      <c r="E55" s="12">
        <f>IF(A55="","",IFERROR(INDEX(YetkazuvchiIsm,MATCH(A55,YetkazuvchiKod,0)),"?"))</f>
        <v/>
      </c>
      <c r="F55" s="5" t="n"/>
    </row>
    <row r="56">
      <c r="A56" s="9" t="n"/>
      <c r="B56" s="7" t="n"/>
      <c r="C56" s="5" t="n"/>
      <c r="D56" s="11">
        <f>IF(OR(A56&lt;&gt;"",B56&gt;0),TODAY(),"")</f>
        <v/>
      </c>
      <c r="E56" s="12">
        <f>IF(A56="","",IFERROR(INDEX(YetkazuvchiIsm,MATCH(A56,YetkazuvchiKod,0)),"?"))</f>
        <v/>
      </c>
      <c r="F56" s="5" t="n"/>
    </row>
    <row r="57">
      <c r="A57" s="9" t="n"/>
      <c r="B57" s="7" t="n"/>
      <c r="C57" s="5" t="n"/>
      <c r="D57" s="11">
        <f>IF(OR(A57&lt;&gt;"",B57&gt;0),TODAY(),"")</f>
        <v/>
      </c>
      <c r="E57" s="12">
        <f>IF(A57="","",IFERROR(INDEX(YetkazuvchiIsm,MATCH(A57,YetkazuvchiKod,0)),"?"))</f>
        <v/>
      </c>
      <c r="F57" s="5" t="n"/>
    </row>
    <row r="58">
      <c r="A58" s="9" t="n"/>
      <c r="B58" s="7" t="n"/>
      <c r="C58" s="5" t="n"/>
      <c r="D58" s="11">
        <f>IF(OR(A58&lt;&gt;"",B58&gt;0),TODAY(),"")</f>
        <v/>
      </c>
      <c r="E58" s="12">
        <f>IF(A58="","",IFERROR(INDEX(YetkazuvchiIsm,MATCH(A58,YetkazuvchiKod,0)),"?"))</f>
        <v/>
      </c>
      <c r="F58" s="5" t="n"/>
    </row>
    <row r="59">
      <c r="A59" s="9" t="n"/>
      <c r="B59" s="7" t="n"/>
      <c r="C59" s="5" t="n"/>
      <c r="D59" s="11">
        <f>IF(OR(A59&lt;&gt;"",B59&gt;0),TODAY(),"")</f>
        <v/>
      </c>
      <c r="E59" s="12">
        <f>IF(A59="","",IFERROR(INDEX(YetkazuvchiIsm,MATCH(A59,YetkazuvchiKod,0)),"?"))</f>
        <v/>
      </c>
      <c r="F59" s="5" t="n"/>
    </row>
    <row r="60">
      <c r="A60" s="9" t="n"/>
      <c r="B60" s="7" t="n"/>
      <c r="C60" s="5" t="n"/>
      <c r="D60" s="11">
        <f>IF(OR(A60&lt;&gt;"",B60&gt;0),TODAY(),"")</f>
        <v/>
      </c>
      <c r="E60" s="12">
        <f>IF(A60="","",IFERROR(INDEX(YetkazuvchiIsm,MATCH(A60,YetkazuvchiKod,0)),"?"))</f>
        <v/>
      </c>
      <c r="F60" s="5" t="n"/>
    </row>
    <row r="61">
      <c r="A61" s="9" t="n"/>
      <c r="B61" s="7" t="n"/>
      <c r="C61" s="5" t="n"/>
      <c r="D61" s="11">
        <f>IF(OR(A61&lt;&gt;"",B61&gt;0),TODAY(),"")</f>
        <v/>
      </c>
      <c r="E61" s="12">
        <f>IF(A61="","",IFERROR(INDEX(YetkazuvchiIsm,MATCH(A61,YetkazuvchiKod,0)),"?"))</f>
        <v/>
      </c>
      <c r="F61" s="5" t="n"/>
    </row>
    <row r="62">
      <c r="A62" s="9" t="n"/>
      <c r="B62" s="7" t="n"/>
      <c r="C62" s="5" t="n"/>
      <c r="D62" s="11">
        <f>IF(OR(A62&lt;&gt;"",B62&gt;0),TODAY(),"")</f>
        <v/>
      </c>
      <c r="E62" s="12">
        <f>IF(A62="","",IFERROR(INDEX(YetkazuvchiIsm,MATCH(A62,YetkazuvchiKod,0)),"?"))</f>
        <v/>
      </c>
      <c r="F62" s="5" t="n"/>
    </row>
    <row r="63">
      <c r="A63" s="9" t="n"/>
      <c r="B63" s="7" t="n"/>
      <c r="C63" s="5" t="n"/>
      <c r="D63" s="11">
        <f>IF(OR(A63&lt;&gt;"",B63&gt;0),TODAY(),"")</f>
        <v/>
      </c>
      <c r="E63" s="12">
        <f>IF(A63="","",IFERROR(INDEX(YetkazuvchiIsm,MATCH(A63,YetkazuvchiKod,0)),"?"))</f>
        <v/>
      </c>
      <c r="F63" s="5" t="n"/>
    </row>
    <row r="64">
      <c r="A64" s="9" t="n"/>
      <c r="B64" s="7" t="n"/>
      <c r="C64" s="5" t="n"/>
      <c r="D64" s="11">
        <f>IF(OR(A64&lt;&gt;"",B64&gt;0),TODAY(),"")</f>
        <v/>
      </c>
      <c r="E64" s="12">
        <f>IF(A64="","",IFERROR(INDEX(YetkazuvchiIsm,MATCH(A64,YetkazuvchiKod,0)),"?"))</f>
        <v/>
      </c>
      <c r="F64" s="5" t="n"/>
    </row>
    <row r="65">
      <c r="A65" s="9" t="n"/>
      <c r="B65" s="7" t="n"/>
      <c r="C65" s="5" t="n"/>
      <c r="D65" s="11">
        <f>IF(OR(A65&lt;&gt;"",B65&gt;0),TODAY(),"")</f>
        <v/>
      </c>
      <c r="E65" s="12">
        <f>IF(A65="","",IFERROR(INDEX(YetkazuvchiIsm,MATCH(A65,YetkazuvchiKod,0)),"?"))</f>
        <v/>
      </c>
      <c r="F65" s="5" t="n"/>
    </row>
    <row r="66">
      <c r="A66" s="9" t="n"/>
      <c r="B66" s="7" t="n"/>
      <c r="C66" s="5" t="n"/>
      <c r="D66" s="11">
        <f>IF(OR(A66&lt;&gt;"",B66&gt;0),TODAY(),"")</f>
        <v/>
      </c>
      <c r="E66" s="12">
        <f>IF(A66="","",IFERROR(INDEX(YetkazuvchiIsm,MATCH(A66,YetkazuvchiKod,0)),"?"))</f>
        <v/>
      </c>
      <c r="F66" s="5" t="n"/>
    </row>
    <row r="67">
      <c r="A67" s="9" t="n"/>
      <c r="B67" s="7" t="n"/>
      <c r="C67" s="5" t="n"/>
      <c r="D67" s="11">
        <f>IF(OR(A67&lt;&gt;"",B67&gt;0),TODAY(),"")</f>
        <v/>
      </c>
      <c r="E67" s="12">
        <f>IF(A67="","",IFERROR(INDEX(YetkazuvchiIsm,MATCH(A67,YetkazuvchiKod,0)),"?"))</f>
        <v/>
      </c>
      <c r="F67" s="5" t="n"/>
    </row>
    <row r="68">
      <c r="A68" s="9" t="n"/>
      <c r="B68" s="7" t="n"/>
      <c r="C68" s="5" t="n"/>
      <c r="D68" s="11">
        <f>IF(OR(A68&lt;&gt;"",B68&gt;0),TODAY(),"")</f>
        <v/>
      </c>
      <c r="E68" s="12">
        <f>IF(A68="","",IFERROR(INDEX(YetkazuvchiIsm,MATCH(A68,YetkazuvchiKod,0)),"?"))</f>
        <v/>
      </c>
      <c r="F68" s="5" t="n"/>
    </row>
    <row r="69">
      <c r="A69" s="9" t="n"/>
      <c r="B69" s="7" t="n"/>
      <c r="C69" s="5" t="n"/>
      <c r="D69" s="11">
        <f>IF(OR(A69&lt;&gt;"",B69&gt;0),TODAY(),"")</f>
        <v/>
      </c>
      <c r="E69" s="12">
        <f>IF(A69="","",IFERROR(INDEX(YetkazuvchiIsm,MATCH(A69,YetkazuvchiKod,0)),"?"))</f>
        <v/>
      </c>
      <c r="F69" s="5" t="n"/>
    </row>
    <row r="70">
      <c r="A70" s="9" t="n"/>
      <c r="B70" s="7" t="n"/>
      <c r="C70" s="5" t="n"/>
      <c r="D70" s="11">
        <f>IF(OR(A70&lt;&gt;"",B70&gt;0),TODAY(),"")</f>
        <v/>
      </c>
      <c r="E70" s="12">
        <f>IF(A70="","",IFERROR(INDEX(YetkazuvchiIsm,MATCH(A70,YetkazuvchiKod,0)),"?"))</f>
        <v/>
      </c>
      <c r="F70" s="5" t="n"/>
    </row>
    <row r="71">
      <c r="A71" s="9" t="n"/>
      <c r="B71" s="7" t="n"/>
      <c r="C71" s="5" t="n"/>
      <c r="D71" s="11">
        <f>IF(OR(A71&lt;&gt;"",B71&gt;0),TODAY(),"")</f>
        <v/>
      </c>
      <c r="E71" s="12">
        <f>IF(A71="","",IFERROR(INDEX(YetkazuvchiIsm,MATCH(A71,YetkazuvchiKod,0)),"?"))</f>
        <v/>
      </c>
      <c r="F71" s="5" t="n"/>
    </row>
    <row r="72">
      <c r="A72" s="9" t="n"/>
      <c r="B72" s="7" t="n"/>
      <c r="C72" s="5" t="n"/>
      <c r="D72" s="11">
        <f>IF(OR(A72&lt;&gt;"",B72&gt;0),TODAY(),"")</f>
        <v/>
      </c>
      <c r="E72" s="12">
        <f>IF(A72="","",IFERROR(INDEX(YetkazuvchiIsm,MATCH(A72,YetkazuvchiKod,0)),"?"))</f>
        <v/>
      </c>
      <c r="F72" s="5" t="n"/>
    </row>
    <row r="73">
      <c r="A73" s="9" t="n"/>
      <c r="B73" s="7" t="n"/>
      <c r="C73" s="5" t="n"/>
      <c r="D73" s="11">
        <f>IF(OR(A73&lt;&gt;"",B73&gt;0),TODAY(),"")</f>
        <v/>
      </c>
      <c r="E73" s="12">
        <f>IF(A73="","",IFERROR(INDEX(YetkazuvchiIsm,MATCH(A73,YetkazuvchiKod,0)),"?"))</f>
        <v/>
      </c>
      <c r="F73" s="5" t="n"/>
    </row>
    <row r="74">
      <c r="A74" s="9" t="n"/>
      <c r="B74" s="7" t="n"/>
      <c r="C74" s="5" t="n"/>
      <c r="D74" s="11">
        <f>IF(OR(A74&lt;&gt;"",B74&gt;0),TODAY(),"")</f>
        <v/>
      </c>
      <c r="E74" s="12">
        <f>IF(A74="","",IFERROR(INDEX(YetkazuvchiIsm,MATCH(A74,YetkazuvchiKod,0)),"?"))</f>
        <v/>
      </c>
      <c r="F74" s="5" t="n"/>
    </row>
    <row r="75">
      <c r="A75" s="9" t="n"/>
      <c r="B75" s="7" t="n"/>
      <c r="C75" s="5" t="n"/>
      <c r="D75" s="11">
        <f>IF(OR(A75&lt;&gt;"",B75&gt;0),TODAY(),"")</f>
        <v/>
      </c>
      <c r="E75" s="12">
        <f>IF(A75="","",IFERROR(INDEX(YetkazuvchiIsm,MATCH(A75,YetkazuvchiKod,0)),"?"))</f>
        <v/>
      </c>
      <c r="F75" s="5" t="n"/>
    </row>
    <row r="76">
      <c r="A76" s="9" t="n"/>
      <c r="B76" s="7" t="n"/>
      <c r="C76" s="5" t="n"/>
      <c r="D76" s="11">
        <f>IF(OR(A76&lt;&gt;"",B76&gt;0),TODAY(),"")</f>
        <v/>
      </c>
      <c r="E76" s="12">
        <f>IF(A76="","",IFERROR(INDEX(YetkazuvchiIsm,MATCH(A76,YetkazuvchiKod,0)),"?"))</f>
        <v/>
      </c>
      <c r="F76" s="5" t="n"/>
    </row>
    <row r="77">
      <c r="A77" s="9" t="n"/>
      <c r="B77" s="7" t="n"/>
      <c r="C77" s="5" t="n"/>
      <c r="D77" s="11">
        <f>IF(OR(A77&lt;&gt;"",B77&gt;0),TODAY(),"")</f>
        <v/>
      </c>
      <c r="E77" s="12">
        <f>IF(A77="","",IFERROR(INDEX(YetkazuvchiIsm,MATCH(A77,YetkazuvchiKod,0)),"?"))</f>
        <v/>
      </c>
      <c r="F77" s="5" t="n"/>
    </row>
    <row r="78">
      <c r="A78" s="9" t="n"/>
      <c r="B78" s="7" t="n"/>
      <c r="C78" s="5" t="n"/>
      <c r="D78" s="11">
        <f>IF(OR(A78&lt;&gt;"",B78&gt;0),TODAY(),"")</f>
        <v/>
      </c>
      <c r="E78" s="12">
        <f>IF(A78="","",IFERROR(INDEX(YetkazuvchiIsm,MATCH(A78,YetkazuvchiKod,0)),"?"))</f>
        <v/>
      </c>
      <c r="F78" s="5" t="n"/>
    </row>
    <row r="79">
      <c r="A79" s="9" t="n"/>
      <c r="B79" s="7" t="n"/>
      <c r="C79" s="5" t="n"/>
      <c r="D79" s="11">
        <f>IF(OR(A79&lt;&gt;"",B79&gt;0),TODAY(),"")</f>
        <v/>
      </c>
      <c r="E79" s="12">
        <f>IF(A79="","",IFERROR(INDEX(YetkazuvchiIsm,MATCH(A79,YetkazuvchiKod,0)),"?"))</f>
        <v/>
      </c>
      <c r="F79" s="5" t="n"/>
    </row>
    <row r="80">
      <c r="A80" s="9" t="n"/>
      <c r="B80" s="7" t="n"/>
      <c r="C80" s="5" t="n"/>
      <c r="D80" s="11">
        <f>IF(OR(A80&lt;&gt;"",B80&gt;0),TODAY(),"")</f>
        <v/>
      </c>
      <c r="E80" s="12">
        <f>IF(A80="","",IFERROR(INDEX(YetkazuvchiIsm,MATCH(A80,YetkazuvchiKod,0)),"?"))</f>
        <v/>
      </c>
      <c r="F80" s="5" t="n"/>
    </row>
    <row r="81">
      <c r="A81" s="9" t="n"/>
      <c r="B81" s="7" t="n"/>
      <c r="C81" s="5" t="n"/>
      <c r="D81" s="11">
        <f>IF(OR(A81&lt;&gt;"",B81&gt;0),TODAY(),"")</f>
        <v/>
      </c>
      <c r="E81" s="12">
        <f>IF(A81="","",IFERROR(INDEX(YetkazuvchiIsm,MATCH(A81,YetkazuvchiKod,0)),"?"))</f>
        <v/>
      </c>
      <c r="F81" s="5" t="n"/>
    </row>
    <row r="82">
      <c r="A82" s="9" t="n"/>
      <c r="B82" s="7" t="n"/>
      <c r="C82" s="5" t="n"/>
      <c r="D82" s="11">
        <f>IF(OR(A82&lt;&gt;"",B82&gt;0),TODAY(),"")</f>
        <v/>
      </c>
      <c r="E82" s="12">
        <f>IF(A82="","",IFERROR(INDEX(YetkazuvchiIsm,MATCH(A82,YetkazuvchiKod,0)),"?"))</f>
        <v/>
      </c>
      <c r="F82" s="5" t="n"/>
    </row>
    <row r="83">
      <c r="A83" s="9" t="n"/>
      <c r="B83" s="7" t="n"/>
      <c r="C83" s="5" t="n"/>
      <c r="D83" s="11">
        <f>IF(OR(A83&lt;&gt;"",B83&gt;0),TODAY(),"")</f>
        <v/>
      </c>
      <c r="E83" s="12">
        <f>IF(A83="","",IFERROR(INDEX(YetkazuvchiIsm,MATCH(A83,YetkazuvchiKod,0)),"?"))</f>
        <v/>
      </c>
      <c r="F83" s="5" t="n"/>
    </row>
    <row r="84">
      <c r="A84" s="9" t="n"/>
      <c r="B84" s="7" t="n"/>
      <c r="C84" s="5" t="n"/>
      <c r="D84" s="11">
        <f>IF(OR(A84&lt;&gt;"",B84&gt;0),TODAY(),"")</f>
        <v/>
      </c>
      <c r="E84" s="12">
        <f>IF(A84="","",IFERROR(INDEX(YetkazuvchiIsm,MATCH(A84,YetkazuvchiKod,0)),"?"))</f>
        <v/>
      </c>
      <c r="F84" s="5" t="n"/>
    </row>
    <row r="85">
      <c r="A85" s="9" t="n"/>
      <c r="B85" s="7" t="n"/>
      <c r="C85" s="5" t="n"/>
      <c r="D85" s="11">
        <f>IF(OR(A85&lt;&gt;"",B85&gt;0),TODAY(),"")</f>
        <v/>
      </c>
      <c r="E85" s="12">
        <f>IF(A85="","",IFERROR(INDEX(YetkazuvchiIsm,MATCH(A85,YetkazuvchiKod,0)),"?"))</f>
        <v/>
      </c>
      <c r="F85" s="5" t="n"/>
    </row>
    <row r="86">
      <c r="A86" s="9" t="n"/>
      <c r="B86" s="7" t="n"/>
      <c r="C86" s="5" t="n"/>
      <c r="D86" s="11">
        <f>IF(OR(A86&lt;&gt;"",B86&gt;0),TODAY(),"")</f>
        <v/>
      </c>
      <c r="E86" s="12">
        <f>IF(A86="","",IFERROR(INDEX(YetkazuvchiIsm,MATCH(A86,YetkazuvchiKod,0)),"?"))</f>
        <v/>
      </c>
      <c r="F86" s="5" t="n"/>
    </row>
    <row r="87">
      <c r="A87" s="9" t="n"/>
      <c r="B87" s="7" t="n"/>
      <c r="C87" s="5" t="n"/>
      <c r="D87" s="11">
        <f>IF(OR(A87&lt;&gt;"",B87&gt;0),TODAY(),"")</f>
        <v/>
      </c>
      <c r="E87" s="12">
        <f>IF(A87="","",IFERROR(INDEX(YetkazuvchiIsm,MATCH(A87,YetkazuvchiKod,0)),"?"))</f>
        <v/>
      </c>
      <c r="F87" s="5" t="n"/>
    </row>
    <row r="88">
      <c r="A88" s="9" t="n"/>
      <c r="B88" s="7" t="n"/>
      <c r="C88" s="5" t="n"/>
      <c r="D88" s="11">
        <f>IF(OR(A88&lt;&gt;"",B88&gt;0),TODAY(),"")</f>
        <v/>
      </c>
      <c r="E88" s="12">
        <f>IF(A88="","",IFERROR(INDEX(YetkazuvchiIsm,MATCH(A88,YetkazuvchiKod,0)),"?"))</f>
        <v/>
      </c>
      <c r="F88" s="5" t="n"/>
    </row>
    <row r="89">
      <c r="A89" s="9" t="n"/>
      <c r="B89" s="7" t="n"/>
      <c r="C89" s="5" t="n"/>
      <c r="D89" s="11">
        <f>IF(OR(A89&lt;&gt;"",B89&gt;0),TODAY(),"")</f>
        <v/>
      </c>
      <c r="E89" s="12">
        <f>IF(A89="","",IFERROR(INDEX(YetkazuvchiIsm,MATCH(A89,YetkazuvchiKod,0)),"?"))</f>
        <v/>
      </c>
      <c r="F89" s="5" t="n"/>
    </row>
    <row r="90">
      <c r="A90" s="9" t="n"/>
      <c r="B90" s="7" t="n"/>
      <c r="C90" s="5" t="n"/>
      <c r="D90" s="11">
        <f>IF(OR(A90&lt;&gt;"",B90&gt;0),TODAY(),"")</f>
        <v/>
      </c>
      <c r="E90" s="12">
        <f>IF(A90="","",IFERROR(INDEX(YetkazuvchiIsm,MATCH(A90,YetkazuvchiKod,0)),"?"))</f>
        <v/>
      </c>
      <c r="F90" s="5" t="n"/>
    </row>
    <row r="91">
      <c r="A91" s="9" t="n"/>
      <c r="B91" s="7" t="n"/>
      <c r="C91" s="5" t="n"/>
      <c r="D91" s="11">
        <f>IF(OR(A91&lt;&gt;"",B91&gt;0),TODAY(),"")</f>
        <v/>
      </c>
      <c r="E91" s="12">
        <f>IF(A91="","",IFERROR(INDEX(YetkazuvchiIsm,MATCH(A91,YetkazuvchiKod,0)),"?"))</f>
        <v/>
      </c>
      <c r="F91" s="5" t="n"/>
    </row>
    <row r="92">
      <c r="A92" s="9" t="n"/>
      <c r="B92" s="7" t="n"/>
      <c r="C92" s="5" t="n"/>
      <c r="D92" s="11">
        <f>IF(OR(A92&lt;&gt;"",B92&gt;0),TODAY(),"")</f>
        <v/>
      </c>
      <c r="E92" s="12">
        <f>IF(A92="","",IFERROR(INDEX(YetkazuvchiIsm,MATCH(A92,YetkazuvchiKod,0)),"?"))</f>
        <v/>
      </c>
      <c r="F92" s="5" t="n"/>
    </row>
    <row r="93">
      <c r="A93" s="9" t="n"/>
      <c r="B93" s="7" t="n"/>
      <c r="C93" s="5" t="n"/>
      <c r="D93" s="11">
        <f>IF(OR(A93&lt;&gt;"",B93&gt;0),TODAY(),"")</f>
        <v/>
      </c>
      <c r="E93" s="12">
        <f>IF(A93="","",IFERROR(INDEX(YetkazuvchiIsm,MATCH(A93,YetkazuvchiKod,0)),"?"))</f>
        <v/>
      </c>
      <c r="F93" s="5" t="n"/>
    </row>
    <row r="94">
      <c r="A94" s="9" t="n"/>
      <c r="B94" s="7" t="n"/>
      <c r="C94" s="5" t="n"/>
      <c r="D94" s="11">
        <f>IF(OR(A94&lt;&gt;"",B94&gt;0),TODAY(),"")</f>
        <v/>
      </c>
      <c r="E94" s="12">
        <f>IF(A94="","",IFERROR(INDEX(YetkazuvchiIsm,MATCH(A94,YetkazuvchiKod,0)),"?"))</f>
        <v/>
      </c>
      <c r="F94" s="5" t="n"/>
    </row>
    <row r="95">
      <c r="A95" s="9" t="n"/>
      <c r="B95" s="7" t="n"/>
      <c r="C95" s="5" t="n"/>
      <c r="D95" s="11">
        <f>IF(OR(A95&lt;&gt;"",B95&gt;0),TODAY(),"")</f>
        <v/>
      </c>
      <c r="E95" s="12">
        <f>IF(A95="","",IFERROR(INDEX(YetkazuvchiIsm,MATCH(A95,YetkazuvchiKod,0)),"?"))</f>
        <v/>
      </c>
      <c r="F95" s="5" t="n"/>
    </row>
    <row r="96">
      <c r="A96" s="9" t="n"/>
      <c r="B96" s="7" t="n"/>
      <c r="C96" s="5" t="n"/>
      <c r="D96" s="11">
        <f>IF(OR(A96&lt;&gt;"",B96&gt;0),TODAY(),"")</f>
        <v/>
      </c>
      <c r="E96" s="12">
        <f>IF(A96="","",IFERROR(INDEX(YetkazuvchiIsm,MATCH(A96,YetkazuvchiKod,0)),"?"))</f>
        <v/>
      </c>
      <c r="F96" s="5" t="n"/>
    </row>
    <row r="97">
      <c r="A97" s="9" t="n"/>
      <c r="B97" s="7" t="n"/>
      <c r="C97" s="5" t="n"/>
      <c r="D97" s="11">
        <f>IF(OR(A97&lt;&gt;"",B97&gt;0),TODAY(),"")</f>
        <v/>
      </c>
      <c r="E97" s="12">
        <f>IF(A97="","",IFERROR(INDEX(YetkazuvchiIsm,MATCH(A97,YetkazuvchiKod,0)),"?"))</f>
        <v/>
      </c>
      <c r="F97" s="5" t="n"/>
    </row>
    <row r="98">
      <c r="A98" s="9" t="n"/>
      <c r="B98" s="7" t="n"/>
      <c r="C98" s="5" t="n"/>
      <c r="D98" s="11">
        <f>IF(OR(A98&lt;&gt;"",B98&gt;0),TODAY(),"")</f>
        <v/>
      </c>
      <c r="E98" s="12">
        <f>IF(A98="","",IFERROR(INDEX(YetkazuvchiIsm,MATCH(A98,YetkazuvchiKod,0)),"?"))</f>
        <v/>
      </c>
      <c r="F98" s="5" t="n"/>
    </row>
    <row r="99">
      <c r="A99" s="9" t="n"/>
      <c r="B99" s="7" t="n"/>
      <c r="C99" s="5" t="n"/>
      <c r="D99" s="11">
        <f>IF(OR(A99&lt;&gt;"",B99&gt;0),TODAY(),"")</f>
        <v/>
      </c>
      <c r="E99" s="12">
        <f>IF(A99="","",IFERROR(INDEX(YetkazuvchiIsm,MATCH(A99,YetkazuvchiKod,0)),"?"))</f>
        <v/>
      </c>
      <c r="F99" s="5" t="n"/>
    </row>
    <row r="100">
      <c r="A100" s="9" t="n"/>
      <c r="B100" s="7" t="n"/>
      <c r="C100" s="5" t="n"/>
      <c r="D100" s="11">
        <f>IF(OR(A100&lt;&gt;"",B100&gt;0),TODAY(),"")</f>
        <v/>
      </c>
      <c r="E100" s="12">
        <f>IF(A100="","",IFERROR(INDEX(YetkazuvchiIsm,MATCH(A100,YetkazuvchiKod,0)),"?"))</f>
        <v/>
      </c>
      <c r="F100" s="5" t="n"/>
    </row>
    <row r="101">
      <c r="A101" s="9" t="n"/>
      <c r="B101" s="7" t="n"/>
      <c r="C101" s="5" t="n"/>
      <c r="D101" s="11">
        <f>IF(OR(A101&lt;&gt;"",B101&gt;0),TODAY(),"")</f>
        <v/>
      </c>
      <c r="E101" s="12">
        <f>IF(A101="","",IFERROR(INDEX(YetkazuvchiIsm,MATCH(A101,YetkazuvchiKod,0)),"?"))</f>
        <v/>
      </c>
      <c r="F101" s="5" t="n"/>
    </row>
    <row r="102">
      <c r="A102" s="9" t="n"/>
      <c r="B102" s="7" t="n"/>
      <c r="C102" s="5" t="n"/>
      <c r="D102" s="11">
        <f>IF(OR(A102&lt;&gt;"",B102&gt;0),TODAY(),"")</f>
        <v/>
      </c>
      <c r="E102" s="12">
        <f>IF(A102="","",IFERROR(INDEX(YetkazuvchiIsm,MATCH(A102,YetkazuvchiKod,0)),"?"))</f>
        <v/>
      </c>
      <c r="F102" s="5" t="n"/>
    </row>
    <row r="103">
      <c r="A103" s="9" t="n"/>
      <c r="B103" s="7" t="n"/>
      <c r="C103" s="5" t="n"/>
      <c r="D103" s="11">
        <f>IF(OR(A103&lt;&gt;"",B103&gt;0),TODAY(),"")</f>
        <v/>
      </c>
      <c r="E103" s="12">
        <f>IF(A103="","",IFERROR(INDEX(YetkazuvchiIsm,MATCH(A103,YetkazuvchiKod,0)),"?"))</f>
        <v/>
      </c>
      <c r="F103" s="5" t="n"/>
    </row>
    <row r="104">
      <c r="A104" s="9" t="n"/>
      <c r="B104" s="7" t="n"/>
      <c r="C104" s="5" t="n"/>
      <c r="D104" s="11">
        <f>IF(OR(A104&lt;&gt;"",B104&gt;0),TODAY(),"")</f>
        <v/>
      </c>
      <c r="E104" s="12">
        <f>IF(A104="","",IFERROR(INDEX(YetkazuvchiIsm,MATCH(A104,YetkazuvchiKod,0)),"?"))</f>
        <v/>
      </c>
      <c r="F104" s="5" t="n"/>
    </row>
  </sheetData>
  <mergeCells count="2">
    <mergeCell ref="A2:F2"/>
    <mergeCell ref="A1:F1"/>
  </mergeCells>
  <pageMargins left="0.5" right="0.5" top="0.6" bottom="0.6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4" customWidth="1" min="8" max="8"/>
    <col width="10" customWidth="1" min="9" max="9"/>
  </cols>
  <sheetData>
    <row r="1" ht="28" customHeight="1">
      <c r="A1" s="1" t="inlineStr">
        <is>
          <t>Kunlik kassa</t>
        </is>
      </c>
    </row>
    <row r="2" ht="36" customHeight="1">
      <c r="A2" s="2" t="inlineStr">
        <is>
          <t>Har kuni: Kirdi va Boshqa chiqim. Xarajat/tovar — batafsil varag'lardan avtomatik.</t>
        </is>
      </c>
    </row>
    <row r="4" ht="32" customHeight="1">
      <c r="A4" s="3" t="inlineStr">
        <is>
          <t>Sana</t>
        </is>
      </c>
      <c r="B4" s="3" t="inlineStr">
        <is>
          <t>Kirdi</t>
        </is>
      </c>
      <c r="C4" s="3" t="inlineStr">
        <is>
          <t>Boshqa_chiqim</t>
        </is>
      </c>
      <c r="D4" s="3" t="inlineStr">
        <is>
          <t>Xarajat</t>
        </is>
      </c>
      <c r="E4" s="3" t="inlineStr">
        <is>
          <t>Tavarga_pul</t>
        </is>
      </c>
      <c r="F4" s="3" t="inlineStr">
        <is>
          <t>Jami_chiqim</t>
        </is>
      </c>
      <c r="G4" s="3" t="inlineStr">
        <is>
          <t>Kunlik_farq</t>
        </is>
      </c>
      <c r="H4" s="3" t="inlineStr">
        <is>
          <t>Kassa_qoldiq</t>
        </is>
      </c>
      <c r="I4" s="3" t="inlineStr">
        <is>
          <t>Belgi</t>
        </is>
      </c>
    </row>
    <row r="5">
      <c r="A5" s="14" t="n">
        <v>46235</v>
      </c>
      <c r="B5" s="7" t="n">
        <v>1200000</v>
      </c>
      <c r="C5" s="7" t="n">
        <v>20000</v>
      </c>
      <c r="D5" s="15">
        <f>IF(A5="","",SUMIFS(tblXarajatlar[Summa],tblXarajatlar[Sana],A5))</f>
        <v/>
      </c>
      <c r="E5" s="15">
        <f>IF(A5="","",SUMIFS(tblTovargaPul[Summa],tblTovargaPul[Sana],A5))</f>
        <v/>
      </c>
      <c r="F5" s="15">
        <f>SUM(C5:E5)</f>
        <v/>
      </c>
      <c r="G5" s="15">
        <f>B5-F5</f>
        <v/>
      </c>
      <c r="H5" s="15">
        <f>StartCash+G5</f>
        <v/>
      </c>
      <c r="I5" s="13" t="inlineStr">
        <is>
          <t>Namuna</t>
        </is>
      </c>
    </row>
    <row r="6">
      <c r="A6" s="14" t="n">
        <v>46236</v>
      </c>
      <c r="B6" s="7" t="n">
        <v>980000</v>
      </c>
      <c r="C6" s="7" t="n">
        <v>15000</v>
      </c>
      <c r="D6" s="15">
        <f>IF(A6="","",SUMIFS(tblXarajatlar[Summa],tblXarajatlar[Sana],A6))</f>
        <v/>
      </c>
      <c r="E6" s="15">
        <f>IF(A6="","",SUMIFS(tblTovargaPul[Summa],tblTovargaPul[Sana],A6))</f>
        <v/>
      </c>
      <c r="F6" s="15">
        <f>SUM(C6:E6)</f>
        <v/>
      </c>
      <c r="G6" s="15">
        <f>B6-F6</f>
        <v/>
      </c>
      <c r="H6" s="15">
        <f>H5+G6</f>
        <v/>
      </c>
      <c r="I6" s="13" t="inlineStr">
        <is>
          <t>Namuna</t>
        </is>
      </c>
    </row>
    <row r="7">
      <c r="A7" s="14" t="n">
        <v>46237</v>
      </c>
      <c r="B7" s="7" t="n">
        <v>1500000</v>
      </c>
      <c r="C7" s="7" t="n">
        <v>30000</v>
      </c>
      <c r="D7" s="15">
        <f>IF(A7="","",SUMIFS(tblXarajatlar[Summa],tblXarajatlar[Sana],A7))</f>
        <v/>
      </c>
      <c r="E7" s="15">
        <f>IF(A7="","",SUMIFS(tblTovargaPul[Summa],tblTovargaPul[Sana],A7))</f>
        <v/>
      </c>
      <c r="F7" s="15">
        <f>SUM(C7:E7)</f>
        <v/>
      </c>
      <c r="G7" s="15">
        <f>B7-F7</f>
        <v/>
      </c>
      <c r="H7" s="15">
        <f>H6+G7</f>
        <v/>
      </c>
      <c r="I7" s="13" t="inlineStr">
        <is>
          <t>Namuna</t>
        </is>
      </c>
    </row>
    <row r="8">
      <c r="A8" s="11">
        <f>IF(OR(B8&gt;0,C8&gt;0),TODAY(),"")</f>
        <v/>
      </c>
      <c r="B8" s="7" t="n"/>
      <c r="C8" s="7" t="n"/>
      <c r="D8" s="15">
        <f>IF(A8="","",SUMIFS(tblXarajatlar[Summa],tblXarajatlar[Sana],A8))</f>
        <v/>
      </c>
      <c r="E8" s="15">
        <f>IF(A8="","",SUMIFS(tblTovargaPul[Summa],tblTovargaPul[Sana],A8))</f>
        <v/>
      </c>
      <c r="F8" s="15">
        <f>IF(A8="","",SUM(C8:E8))</f>
        <v/>
      </c>
      <c r="G8" s="15">
        <f>IF(A8="","",B8-F8)</f>
        <v/>
      </c>
      <c r="H8" s="15">
        <f>IF(A8="","",IF(H7="",StartCash+G8,H7+G8))</f>
        <v/>
      </c>
      <c r="I8" s="5" t="n"/>
    </row>
    <row r="9">
      <c r="A9" s="11">
        <f>IF(OR(B9&gt;0,C9&gt;0),TODAY(),"")</f>
        <v/>
      </c>
      <c r="B9" s="7" t="n"/>
      <c r="C9" s="7" t="n"/>
      <c r="D9" s="15">
        <f>IF(A9="","",SUMIFS(tblXarajatlar[Summa],tblXarajatlar[Sana],A9))</f>
        <v/>
      </c>
      <c r="E9" s="15">
        <f>IF(A9="","",SUMIFS(tblTovargaPul[Summa],tblTovargaPul[Sana],A9))</f>
        <v/>
      </c>
      <c r="F9" s="15">
        <f>IF(A9="","",SUM(C9:E9))</f>
        <v/>
      </c>
      <c r="G9" s="15">
        <f>IF(A9="","",B9-F9)</f>
        <v/>
      </c>
      <c r="H9" s="15">
        <f>IF(A9="","",IF(H8="",StartCash+G9,H8+G9))</f>
        <v/>
      </c>
      <c r="I9" s="5" t="n"/>
    </row>
    <row r="10">
      <c r="A10" s="11">
        <f>IF(OR(B10&gt;0,C10&gt;0),TODAY(),"")</f>
        <v/>
      </c>
      <c r="B10" s="7" t="n"/>
      <c r="C10" s="7" t="n"/>
      <c r="D10" s="15">
        <f>IF(A10="","",SUMIFS(tblXarajatlar[Summa],tblXarajatlar[Sana],A10))</f>
        <v/>
      </c>
      <c r="E10" s="15">
        <f>IF(A10="","",SUMIFS(tblTovargaPul[Summa],tblTovargaPul[Sana],A10))</f>
        <v/>
      </c>
      <c r="F10" s="15">
        <f>IF(A10="","",SUM(C10:E10))</f>
        <v/>
      </c>
      <c r="G10" s="15">
        <f>IF(A10="","",B10-F10)</f>
        <v/>
      </c>
      <c r="H10" s="15">
        <f>IF(A10="","",IF(H9="",StartCash+G10,H9+G10))</f>
        <v/>
      </c>
      <c r="I10" s="5" t="n"/>
    </row>
    <row r="11">
      <c r="A11" s="11">
        <f>IF(OR(B11&gt;0,C11&gt;0),TODAY(),"")</f>
        <v/>
      </c>
      <c r="B11" s="7" t="n"/>
      <c r="C11" s="7" t="n"/>
      <c r="D11" s="15">
        <f>IF(A11="","",SUMIFS(tblXarajatlar[Summa],tblXarajatlar[Sana],A11))</f>
        <v/>
      </c>
      <c r="E11" s="15">
        <f>IF(A11="","",SUMIFS(tblTovargaPul[Summa],tblTovargaPul[Sana],A11))</f>
        <v/>
      </c>
      <c r="F11" s="15">
        <f>IF(A11="","",SUM(C11:E11))</f>
        <v/>
      </c>
      <c r="G11" s="15">
        <f>IF(A11="","",B11-F11)</f>
        <v/>
      </c>
      <c r="H11" s="15">
        <f>IF(A11="","",IF(H10="",StartCash+G11,H10+G11))</f>
        <v/>
      </c>
      <c r="I11" s="5" t="n"/>
    </row>
    <row r="12">
      <c r="A12" s="11">
        <f>IF(OR(B12&gt;0,C12&gt;0),TODAY(),"")</f>
        <v/>
      </c>
      <c r="B12" s="7" t="n"/>
      <c r="C12" s="7" t="n"/>
      <c r="D12" s="15">
        <f>IF(A12="","",SUMIFS(tblXarajatlar[Summa],tblXarajatlar[Sana],A12))</f>
        <v/>
      </c>
      <c r="E12" s="15">
        <f>IF(A12="","",SUMIFS(tblTovargaPul[Summa],tblTovargaPul[Sana],A12))</f>
        <v/>
      </c>
      <c r="F12" s="15">
        <f>IF(A12="","",SUM(C12:E12))</f>
        <v/>
      </c>
      <c r="G12" s="15">
        <f>IF(A12="","",B12-F12)</f>
        <v/>
      </c>
      <c r="H12" s="15">
        <f>IF(A12="","",IF(H11="",StartCash+G12,H11+G12))</f>
        <v/>
      </c>
      <c r="I12" s="5" t="n"/>
    </row>
    <row r="13">
      <c r="A13" s="11">
        <f>IF(OR(B13&gt;0,C13&gt;0),TODAY(),"")</f>
        <v/>
      </c>
      <c r="B13" s="7" t="n"/>
      <c r="C13" s="7" t="n"/>
      <c r="D13" s="15">
        <f>IF(A13="","",SUMIFS(tblXarajatlar[Summa],tblXarajatlar[Sana],A13))</f>
        <v/>
      </c>
      <c r="E13" s="15">
        <f>IF(A13="","",SUMIFS(tblTovargaPul[Summa],tblTovargaPul[Sana],A13))</f>
        <v/>
      </c>
      <c r="F13" s="15">
        <f>IF(A13="","",SUM(C13:E13))</f>
        <v/>
      </c>
      <c r="G13" s="15">
        <f>IF(A13="","",B13-F13)</f>
        <v/>
      </c>
      <c r="H13" s="15">
        <f>IF(A13="","",IF(H12="",StartCash+G13,H12+G13))</f>
        <v/>
      </c>
      <c r="I13" s="5" t="n"/>
    </row>
    <row r="14">
      <c r="A14" s="11">
        <f>IF(OR(B14&gt;0,C14&gt;0),TODAY(),"")</f>
        <v/>
      </c>
      <c r="B14" s="7" t="n"/>
      <c r="C14" s="7" t="n"/>
      <c r="D14" s="15">
        <f>IF(A14="","",SUMIFS(tblXarajatlar[Summa],tblXarajatlar[Sana],A14))</f>
        <v/>
      </c>
      <c r="E14" s="15">
        <f>IF(A14="","",SUMIFS(tblTovargaPul[Summa],tblTovargaPul[Sana],A14))</f>
        <v/>
      </c>
      <c r="F14" s="15">
        <f>IF(A14="","",SUM(C14:E14))</f>
        <v/>
      </c>
      <c r="G14" s="15">
        <f>IF(A14="","",B14-F14)</f>
        <v/>
      </c>
      <c r="H14" s="15">
        <f>IF(A14="","",IF(H13="",StartCash+G14,H13+G14))</f>
        <v/>
      </c>
      <c r="I14" s="5" t="n"/>
    </row>
    <row r="15">
      <c r="A15" s="11">
        <f>IF(OR(B15&gt;0,C15&gt;0),TODAY(),"")</f>
        <v/>
      </c>
      <c r="B15" s="7" t="n"/>
      <c r="C15" s="7" t="n"/>
      <c r="D15" s="15">
        <f>IF(A15="","",SUMIFS(tblXarajatlar[Summa],tblXarajatlar[Sana],A15))</f>
        <v/>
      </c>
      <c r="E15" s="15">
        <f>IF(A15="","",SUMIFS(tblTovargaPul[Summa],tblTovargaPul[Sana],A15))</f>
        <v/>
      </c>
      <c r="F15" s="15">
        <f>IF(A15="","",SUM(C15:E15))</f>
        <v/>
      </c>
      <c r="G15" s="15">
        <f>IF(A15="","",B15-F15)</f>
        <v/>
      </c>
      <c r="H15" s="15">
        <f>IF(A15="","",IF(H14="",StartCash+G15,H14+G15))</f>
        <v/>
      </c>
      <c r="I15" s="5" t="n"/>
    </row>
    <row r="16">
      <c r="A16" s="11">
        <f>IF(OR(B16&gt;0,C16&gt;0),TODAY(),"")</f>
        <v/>
      </c>
      <c r="B16" s="7" t="n"/>
      <c r="C16" s="7" t="n"/>
      <c r="D16" s="15">
        <f>IF(A16="","",SUMIFS(tblXarajatlar[Summa],tblXarajatlar[Sana],A16))</f>
        <v/>
      </c>
      <c r="E16" s="15">
        <f>IF(A16="","",SUMIFS(tblTovargaPul[Summa],tblTovargaPul[Sana],A16))</f>
        <v/>
      </c>
      <c r="F16" s="15">
        <f>IF(A16="","",SUM(C16:E16))</f>
        <v/>
      </c>
      <c r="G16" s="15">
        <f>IF(A16="","",B16-F16)</f>
        <v/>
      </c>
      <c r="H16" s="15">
        <f>IF(A16="","",IF(H15="",StartCash+G16,H15+G16))</f>
        <v/>
      </c>
      <c r="I16" s="5" t="n"/>
    </row>
    <row r="17">
      <c r="A17" s="11">
        <f>IF(OR(B17&gt;0,C17&gt;0),TODAY(),"")</f>
        <v/>
      </c>
      <c r="B17" s="7" t="n"/>
      <c r="C17" s="7" t="n"/>
      <c r="D17" s="15">
        <f>IF(A17="","",SUMIFS(tblXarajatlar[Summa],tblXarajatlar[Sana],A17))</f>
        <v/>
      </c>
      <c r="E17" s="15">
        <f>IF(A17="","",SUMIFS(tblTovargaPul[Summa],tblTovargaPul[Sana],A17))</f>
        <v/>
      </c>
      <c r="F17" s="15">
        <f>IF(A17="","",SUM(C17:E17))</f>
        <v/>
      </c>
      <c r="G17" s="15">
        <f>IF(A17="","",B17-F17)</f>
        <v/>
      </c>
      <c r="H17" s="15">
        <f>IF(A17="","",IF(H16="",StartCash+G17,H16+G17))</f>
        <v/>
      </c>
      <c r="I17" s="5" t="n"/>
    </row>
    <row r="18">
      <c r="A18" s="11">
        <f>IF(OR(B18&gt;0,C18&gt;0),TODAY(),"")</f>
        <v/>
      </c>
      <c r="B18" s="7" t="n"/>
      <c r="C18" s="7" t="n"/>
      <c r="D18" s="15">
        <f>IF(A18="","",SUMIFS(tblXarajatlar[Summa],tblXarajatlar[Sana],A18))</f>
        <v/>
      </c>
      <c r="E18" s="15">
        <f>IF(A18="","",SUMIFS(tblTovargaPul[Summa],tblTovargaPul[Sana],A18))</f>
        <v/>
      </c>
      <c r="F18" s="15">
        <f>IF(A18="","",SUM(C18:E18))</f>
        <v/>
      </c>
      <c r="G18" s="15">
        <f>IF(A18="","",B18-F18)</f>
        <v/>
      </c>
      <c r="H18" s="15">
        <f>IF(A18="","",IF(H17="",StartCash+G18,H17+G18))</f>
        <v/>
      </c>
      <c r="I18" s="5" t="n"/>
    </row>
    <row r="19">
      <c r="A19" s="11">
        <f>IF(OR(B19&gt;0,C19&gt;0),TODAY(),"")</f>
        <v/>
      </c>
      <c r="B19" s="7" t="n"/>
      <c r="C19" s="7" t="n"/>
      <c r="D19" s="15">
        <f>IF(A19="","",SUMIFS(tblXarajatlar[Summa],tblXarajatlar[Sana],A19))</f>
        <v/>
      </c>
      <c r="E19" s="15">
        <f>IF(A19="","",SUMIFS(tblTovargaPul[Summa],tblTovargaPul[Sana],A19))</f>
        <v/>
      </c>
      <c r="F19" s="15">
        <f>IF(A19="","",SUM(C19:E19))</f>
        <v/>
      </c>
      <c r="G19" s="15">
        <f>IF(A19="","",B19-F19)</f>
        <v/>
      </c>
      <c r="H19" s="15">
        <f>IF(A19="","",IF(H18="",StartCash+G19,H18+G19))</f>
        <v/>
      </c>
      <c r="I19" s="5" t="n"/>
    </row>
    <row r="20">
      <c r="A20" s="11">
        <f>IF(OR(B20&gt;0,C20&gt;0),TODAY(),"")</f>
        <v/>
      </c>
      <c r="B20" s="7" t="n"/>
      <c r="C20" s="7" t="n"/>
      <c r="D20" s="15">
        <f>IF(A20="","",SUMIFS(tblXarajatlar[Summa],tblXarajatlar[Sana],A20))</f>
        <v/>
      </c>
      <c r="E20" s="15">
        <f>IF(A20="","",SUMIFS(tblTovargaPul[Summa],tblTovargaPul[Sana],A20))</f>
        <v/>
      </c>
      <c r="F20" s="15">
        <f>IF(A20="","",SUM(C20:E20))</f>
        <v/>
      </c>
      <c r="G20" s="15">
        <f>IF(A20="","",B20-F20)</f>
        <v/>
      </c>
      <c r="H20" s="15">
        <f>IF(A20="","",IF(H19="",StartCash+G20,H19+G20))</f>
        <v/>
      </c>
      <c r="I20" s="5" t="n"/>
    </row>
    <row r="21">
      <c r="A21" s="11">
        <f>IF(OR(B21&gt;0,C21&gt;0),TODAY(),"")</f>
        <v/>
      </c>
      <c r="B21" s="7" t="n"/>
      <c r="C21" s="7" t="n"/>
      <c r="D21" s="15">
        <f>IF(A21="","",SUMIFS(tblXarajatlar[Summa],tblXarajatlar[Sana],A21))</f>
        <v/>
      </c>
      <c r="E21" s="15">
        <f>IF(A21="","",SUMIFS(tblTovargaPul[Summa],tblTovargaPul[Sana],A21))</f>
        <v/>
      </c>
      <c r="F21" s="15">
        <f>IF(A21="","",SUM(C21:E21))</f>
        <v/>
      </c>
      <c r="G21" s="15">
        <f>IF(A21="","",B21-F21)</f>
        <v/>
      </c>
      <c r="H21" s="15">
        <f>IF(A21="","",IF(H20="",StartCash+G21,H20+G21))</f>
        <v/>
      </c>
      <c r="I21" s="5" t="n"/>
    </row>
    <row r="22">
      <c r="A22" s="11">
        <f>IF(OR(B22&gt;0,C22&gt;0),TODAY(),"")</f>
        <v/>
      </c>
      <c r="B22" s="7" t="n"/>
      <c r="C22" s="7" t="n"/>
      <c r="D22" s="15">
        <f>IF(A22="","",SUMIFS(tblXarajatlar[Summa],tblXarajatlar[Sana],A22))</f>
        <v/>
      </c>
      <c r="E22" s="15">
        <f>IF(A22="","",SUMIFS(tblTovargaPul[Summa],tblTovargaPul[Sana],A22))</f>
        <v/>
      </c>
      <c r="F22" s="15">
        <f>IF(A22="","",SUM(C22:E22))</f>
        <v/>
      </c>
      <c r="G22" s="15">
        <f>IF(A22="","",B22-F22)</f>
        <v/>
      </c>
      <c r="H22" s="15">
        <f>IF(A22="","",IF(H21="",StartCash+G22,H21+G22))</f>
        <v/>
      </c>
      <c r="I22" s="5" t="n"/>
    </row>
    <row r="23">
      <c r="A23" s="11">
        <f>IF(OR(B23&gt;0,C23&gt;0),TODAY(),"")</f>
        <v/>
      </c>
      <c r="B23" s="7" t="n"/>
      <c r="C23" s="7" t="n"/>
      <c r="D23" s="15">
        <f>IF(A23="","",SUMIFS(tblXarajatlar[Summa],tblXarajatlar[Sana],A23))</f>
        <v/>
      </c>
      <c r="E23" s="15">
        <f>IF(A23="","",SUMIFS(tblTovargaPul[Summa],tblTovargaPul[Sana],A23))</f>
        <v/>
      </c>
      <c r="F23" s="15">
        <f>IF(A23="","",SUM(C23:E23))</f>
        <v/>
      </c>
      <c r="G23" s="15">
        <f>IF(A23="","",B23-F23)</f>
        <v/>
      </c>
      <c r="H23" s="15">
        <f>IF(A23="","",IF(H22="",StartCash+G23,H22+G23))</f>
        <v/>
      </c>
      <c r="I23" s="5" t="n"/>
    </row>
    <row r="24">
      <c r="A24" s="11">
        <f>IF(OR(B24&gt;0,C24&gt;0),TODAY(),"")</f>
        <v/>
      </c>
      <c r="B24" s="7" t="n"/>
      <c r="C24" s="7" t="n"/>
      <c r="D24" s="15">
        <f>IF(A24="","",SUMIFS(tblXarajatlar[Summa],tblXarajatlar[Sana],A24))</f>
        <v/>
      </c>
      <c r="E24" s="15">
        <f>IF(A24="","",SUMIFS(tblTovargaPul[Summa],tblTovargaPul[Sana],A24))</f>
        <v/>
      </c>
      <c r="F24" s="15">
        <f>IF(A24="","",SUM(C24:E24))</f>
        <v/>
      </c>
      <c r="G24" s="15">
        <f>IF(A24="","",B24-F24)</f>
        <v/>
      </c>
      <c r="H24" s="15">
        <f>IF(A24="","",IF(H23="",StartCash+G24,H23+G24))</f>
        <v/>
      </c>
      <c r="I24" s="5" t="n"/>
    </row>
    <row r="25">
      <c r="A25" s="11">
        <f>IF(OR(B25&gt;0,C25&gt;0),TODAY(),"")</f>
        <v/>
      </c>
      <c r="B25" s="7" t="n"/>
      <c r="C25" s="7" t="n"/>
      <c r="D25" s="15">
        <f>IF(A25="","",SUMIFS(tblXarajatlar[Summa],tblXarajatlar[Sana],A25))</f>
        <v/>
      </c>
      <c r="E25" s="15">
        <f>IF(A25="","",SUMIFS(tblTovargaPul[Summa],tblTovargaPul[Sana],A25))</f>
        <v/>
      </c>
      <c r="F25" s="15">
        <f>IF(A25="","",SUM(C25:E25))</f>
        <v/>
      </c>
      <c r="G25" s="15">
        <f>IF(A25="","",B25-F25)</f>
        <v/>
      </c>
      <c r="H25" s="15">
        <f>IF(A25="","",IF(H24="",StartCash+G25,H24+G25))</f>
        <v/>
      </c>
      <c r="I25" s="5" t="n"/>
    </row>
    <row r="26">
      <c r="A26" s="11">
        <f>IF(OR(B26&gt;0,C26&gt;0),TODAY(),"")</f>
        <v/>
      </c>
      <c r="B26" s="7" t="n"/>
      <c r="C26" s="7" t="n"/>
      <c r="D26" s="15">
        <f>IF(A26="","",SUMIFS(tblXarajatlar[Summa],tblXarajatlar[Sana],A26))</f>
        <v/>
      </c>
      <c r="E26" s="15">
        <f>IF(A26="","",SUMIFS(tblTovargaPul[Summa],tblTovargaPul[Sana],A26))</f>
        <v/>
      </c>
      <c r="F26" s="15">
        <f>IF(A26="","",SUM(C26:E26))</f>
        <v/>
      </c>
      <c r="G26" s="15">
        <f>IF(A26="","",B26-F26)</f>
        <v/>
      </c>
      <c r="H26" s="15">
        <f>IF(A26="","",IF(H25="",StartCash+G26,H25+G26))</f>
        <v/>
      </c>
      <c r="I26" s="5" t="n"/>
    </row>
    <row r="27">
      <c r="A27" s="11">
        <f>IF(OR(B27&gt;0,C27&gt;0),TODAY(),"")</f>
        <v/>
      </c>
      <c r="B27" s="7" t="n"/>
      <c r="C27" s="7" t="n"/>
      <c r="D27" s="15">
        <f>IF(A27="","",SUMIFS(tblXarajatlar[Summa],tblXarajatlar[Sana],A27))</f>
        <v/>
      </c>
      <c r="E27" s="15">
        <f>IF(A27="","",SUMIFS(tblTovargaPul[Summa],tblTovargaPul[Sana],A27))</f>
        <v/>
      </c>
      <c r="F27" s="15">
        <f>IF(A27="","",SUM(C27:E27))</f>
        <v/>
      </c>
      <c r="G27" s="15">
        <f>IF(A27="","",B27-F27)</f>
        <v/>
      </c>
      <c r="H27" s="15">
        <f>IF(A27="","",IF(H26="",StartCash+G27,H26+G27))</f>
        <v/>
      </c>
      <c r="I27" s="5" t="n"/>
    </row>
    <row r="28">
      <c r="A28" s="11">
        <f>IF(OR(B28&gt;0,C28&gt;0),TODAY(),"")</f>
        <v/>
      </c>
      <c r="B28" s="7" t="n"/>
      <c r="C28" s="7" t="n"/>
      <c r="D28" s="15">
        <f>IF(A28="","",SUMIFS(tblXarajatlar[Summa],tblXarajatlar[Sana],A28))</f>
        <v/>
      </c>
      <c r="E28" s="15">
        <f>IF(A28="","",SUMIFS(tblTovargaPul[Summa],tblTovargaPul[Sana],A28))</f>
        <v/>
      </c>
      <c r="F28" s="15">
        <f>IF(A28="","",SUM(C28:E28))</f>
        <v/>
      </c>
      <c r="G28" s="15">
        <f>IF(A28="","",B28-F28)</f>
        <v/>
      </c>
      <c r="H28" s="15">
        <f>IF(A28="","",IF(H27="",StartCash+G28,H27+G28))</f>
        <v/>
      </c>
      <c r="I28" s="5" t="n"/>
    </row>
    <row r="29">
      <c r="A29" s="11">
        <f>IF(OR(B29&gt;0,C29&gt;0),TODAY(),"")</f>
        <v/>
      </c>
      <c r="B29" s="7" t="n"/>
      <c r="C29" s="7" t="n"/>
      <c r="D29" s="15">
        <f>IF(A29="","",SUMIFS(tblXarajatlar[Summa],tblXarajatlar[Sana],A29))</f>
        <v/>
      </c>
      <c r="E29" s="15">
        <f>IF(A29="","",SUMIFS(tblTovargaPul[Summa],tblTovargaPul[Sana],A29))</f>
        <v/>
      </c>
      <c r="F29" s="15">
        <f>IF(A29="","",SUM(C29:E29))</f>
        <v/>
      </c>
      <c r="G29" s="15">
        <f>IF(A29="","",B29-F29)</f>
        <v/>
      </c>
      <c r="H29" s="15">
        <f>IF(A29="","",IF(H28="",StartCash+G29,H28+G29))</f>
        <v/>
      </c>
      <c r="I29" s="5" t="n"/>
    </row>
    <row r="30">
      <c r="A30" s="11">
        <f>IF(OR(B30&gt;0,C30&gt;0),TODAY(),"")</f>
        <v/>
      </c>
      <c r="B30" s="7" t="n"/>
      <c r="C30" s="7" t="n"/>
      <c r="D30" s="15">
        <f>IF(A30="","",SUMIFS(tblXarajatlar[Summa],tblXarajatlar[Sana],A30))</f>
        <v/>
      </c>
      <c r="E30" s="15">
        <f>IF(A30="","",SUMIFS(tblTovargaPul[Summa],tblTovargaPul[Sana],A30))</f>
        <v/>
      </c>
      <c r="F30" s="15">
        <f>IF(A30="","",SUM(C30:E30))</f>
        <v/>
      </c>
      <c r="G30" s="15">
        <f>IF(A30="","",B30-F30)</f>
        <v/>
      </c>
      <c r="H30" s="15">
        <f>IF(A30="","",IF(H29="",StartCash+G30,H29+G30))</f>
        <v/>
      </c>
      <c r="I30" s="5" t="n"/>
    </row>
    <row r="31">
      <c r="A31" s="11">
        <f>IF(OR(B31&gt;0,C31&gt;0),TODAY(),"")</f>
        <v/>
      </c>
      <c r="B31" s="7" t="n"/>
      <c r="C31" s="7" t="n"/>
      <c r="D31" s="15">
        <f>IF(A31="","",SUMIFS(tblXarajatlar[Summa],tblXarajatlar[Sana],A31))</f>
        <v/>
      </c>
      <c r="E31" s="15">
        <f>IF(A31="","",SUMIFS(tblTovargaPul[Summa],tblTovargaPul[Sana],A31))</f>
        <v/>
      </c>
      <c r="F31" s="15">
        <f>IF(A31="","",SUM(C31:E31))</f>
        <v/>
      </c>
      <c r="G31" s="15">
        <f>IF(A31="","",B31-F31)</f>
        <v/>
      </c>
      <c r="H31" s="15">
        <f>IF(A31="","",IF(H30="",StartCash+G31,H30+G31))</f>
        <v/>
      </c>
      <c r="I31" s="5" t="n"/>
    </row>
    <row r="32">
      <c r="A32" s="11">
        <f>IF(OR(B32&gt;0,C32&gt;0),TODAY(),"")</f>
        <v/>
      </c>
      <c r="B32" s="7" t="n"/>
      <c r="C32" s="7" t="n"/>
      <c r="D32" s="15">
        <f>IF(A32="","",SUMIFS(tblXarajatlar[Summa],tblXarajatlar[Sana],A32))</f>
        <v/>
      </c>
      <c r="E32" s="15">
        <f>IF(A32="","",SUMIFS(tblTovargaPul[Summa],tblTovargaPul[Sana],A32))</f>
        <v/>
      </c>
      <c r="F32" s="15">
        <f>IF(A32="","",SUM(C32:E32))</f>
        <v/>
      </c>
      <c r="G32" s="15">
        <f>IF(A32="","",B32-F32)</f>
        <v/>
      </c>
      <c r="H32" s="15">
        <f>IF(A32="","",IF(H31="",StartCash+G32,H31+G32))</f>
        <v/>
      </c>
      <c r="I32" s="5" t="n"/>
    </row>
    <row r="33">
      <c r="A33" s="11">
        <f>IF(OR(B33&gt;0,C33&gt;0),TODAY(),"")</f>
        <v/>
      </c>
      <c r="B33" s="7" t="n"/>
      <c r="C33" s="7" t="n"/>
      <c r="D33" s="15">
        <f>IF(A33="","",SUMIFS(tblXarajatlar[Summa],tblXarajatlar[Sana],A33))</f>
        <v/>
      </c>
      <c r="E33" s="15">
        <f>IF(A33="","",SUMIFS(tblTovargaPul[Summa],tblTovargaPul[Sana],A33))</f>
        <v/>
      </c>
      <c r="F33" s="15">
        <f>IF(A33="","",SUM(C33:E33))</f>
        <v/>
      </c>
      <c r="G33" s="15">
        <f>IF(A33="","",B33-F33)</f>
        <v/>
      </c>
      <c r="H33" s="15">
        <f>IF(A33="","",IF(H32="",StartCash+G33,H32+G33))</f>
        <v/>
      </c>
      <c r="I33" s="5" t="n"/>
    </row>
    <row r="34">
      <c r="A34" s="11">
        <f>IF(OR(B34&gt;0,C34&gt;0),TODAY(),"")</f>
        <v/>
      </c>
      <c r="B34" s="7" t="n"/>
      <c r="C34" s="7" t="n"/>
      <c r="D34" s="15">
        <f>IF(A34="","",SUMIFS(tblXarajatlar[Summa],tblXarajatlar[Sana],A34))</f>
        <v/>
      </c>
      <c r="E34" s="15">
        <f>IF(A34="","",SUMIFS(tblTovargaPul[Summa],tblTovargaPul[Sana],A34))</f>
        <v/>
      </c>
      <c r="F34" s="15">
        <f>IF(A34="","",SUM(C34:E34))</f>
        <v/>
      </c>
      <c r="G34" s="15">
        <f>IF(A34="","",B34-F34)</f>
        <v/>
      </c>
      <c r="H34" s="15">
        <f>IF(A34="","",IF(H33="",StartCash+G34,H33+G34))</f>
        <v/>
      </c>
      <c r="I34" s="5" t="n"/>
    </row>
    <row r="35">
      <c r="A35" s="11">
        <f>IF(OR(B35&gt;0,C35&gt;0),TODAY(),"")</f>
        <v/>
      </c>
      <c r="B35" s="7" t="n"/>
      <c r="C35" s="7" t="n"/>
      <c r="D35" s="15">
        <f>IF(A35="","",SUMIFS(tblXarajatlar[Summa],tblXarajatlar[Sana],A35))</f>
        <v/>
      </c>
      <c r="E35" s="15">
        <f>IF(A35="","",SUMIFS(tblTovargaPul[Summa],tblTovargaPul[Sana],A35))</f>
        <v/>
      </c>
      <c r="F35" s="15">
        <f>IF(A35="","",SUM(C35:E35))</f>
        <v/>
      </c>
      <c r="G35" s="15">
        <f>IF(A35="","",B35-F35)</f>
        <v/>
      </c>
      <c r="H35" s="15">
        <f>IF(A35="","",IF(H34="",StartCash+G35,H34+G35))</f>
        <v/>
      </c>
      <c r="I35" s="5" t="n"/>
    </row>
    <row r="36">
      <c r="A36" s="11">
        <f>IF(OR(B36&gt;0,C36&gt;0),TODAY(),"")</f>
        <v/>
      </c>
      <c r="B36" s="7" t="n"/>
      <c r="C36" s="7" t="n"/>
      <c r="D36" s="15">
        <f>IF(A36="","",SUMIFS(tblXarajatlar[Summa],tblXarajatlar[Sana],A36))</f>
        <v/>
      </c>
      <c r="E36" s="15">
        <f>IF(A36="","",SUMIFS(tblTovargaPul[Summa],tblTovargaPul[Sana],A36))</f>
        <v/>
      </c>
      <c r="F36" s="15">
        <f>IF(A36="","",SUM(C36:E36))</f>
        <v/>
      </c>
      <c r="G36" s="15">
        <f>IF(A36="","",B36-F36)</f>
        <v/>
      </c>
      <c r="H36" s="15">
        <f>IF(A36="","",IF(H35="",StartCash+G36,H35+G36))</f>
        <v/>
      </c>
      <c r="I36" s="5" t="n"/>
    </row>
    <row r="37">
      <c r="A37" s="11">
        <f>IF(OR(B37&gt;0,C37&gt;0),TODAY(),"")</f>
        <v/>
      </c>
      <c r="B37" s="7" t="n"/>
      <c r="C37" s="7" t="n"/>
      <c r="D37" s="15">
        <f>IF(A37="","",SUMIFS(tblXarajatlar[Summa],tblXarajatlar[Sana],A37))</f>
        <v/>
      </c>
      <c r="E37" s="15">
        <f>IF(A37="","",SUMIFS(tblTovargaPul[Summa],tblTovargaPul[Sana],A37))</f>
        <v/>
      </c>
      <c r="F37" s="15">
        <f>IF(A37="","",SUM(C37:E37))</f>
        <v/>
      </c>
      <c r="G37" s="15">
        <f>IF(A37="","",B37-F37)</f>
        <v/>
      </c>
      <c r="H37" s="15">
        <f>IF(A37="","",IF(H36="",StartCash+G37,H36+G37))</f>
        <v/>
      </c>
      <c r="I37" s="5" t="n"/>
    </row>
    <row r="38">
      <c r="A38" s="11">
        <f>IF(OR(B38&gt;0,C38&gt;0),TODAY(),"")</f>
        <v/>
      </c>
      <c r="B38" s="7" t="n"/>
      <c r="C38" s="7" t="n"/>
      <c r="D38" s="15">
        <f>IF(A38="","",SUMIFS(tblXarajatlar[Summa],tblXarajatlar[Sana],A38))</f>
        <v/>
      </c>
      <c r="E38" s="15">
        <f>IF(A38="","",SUMIFS(tblTovargaPul[Summa],tblTovargaPul[Sana],A38))</f>
        <v/>
      </c>
      <c r="F38" s="15">
        <f>IF(A38="","",SUM(C38:E38))</f>
        <v/>
      </c>
      <c r="G38" s="15">
        <f>IF(A38="","",B38-F38)</f>
        <v/>
      </c>
      <c r="H38" s="15">
        <f>IF(A38="","",IF(H37="",StartCash+G38,H37+G38))</f>
        <v/>
      </c>
      <c r="I38" s="5" t="n"/>
    </row>
    <row r="39">
      <c r="A39" s="11">
        <f>IF(OR(B39&gt;0,C39&gt;0),TODAY(),"")</f>
        <v/>
      </c>
      <c r="B39" s="7" t="n"/>
      <c r="C39" s="7" t="n"/>
      <c r="D39" s="15">
        <f>IF(A39="","",SUMIFS(tblXarajatlar[Summa],tblXarajatlar[Sana],A39))</f>
        <v/>
      </c>
      <c r="E39" s="15">
        <f>IF(A39="","",SUMIFS(tblTovargaPul[Summa],tblTovargaPul[Sana],A39))</f>
        <v/>
      </c>
      <c r="F39" s="15">
        <f>IF(A39="","",SUM(C39:E39))</f>
        <v/>
      </c>
      <c r="G39" s="15">
        <f>IF(A39="","",B39-F39)</f>
        <v/>
      </c>
      <c r="H39" s="15">
        <f>IF(A39="","",IF(H38="",StartCash+G39,H38+G39))</f>
        <v/>
      </c>
      <c r="I39" s="5" t="n"/>
    </row>
    <row r="40">
      <c r="A40" s="11">
        <f>IF(OR(B40&gt;0,C40&gt;0),TODAY(),"")</f>
        <v/>
      </c>
      <c r="B40" s="7" t="n"/>
      <c r="C40" s="7" t="n"/>
      <c r="D40" s="15">
        <f>IF(A40="","",SUMIFS(tblXarajatlar[Summa],tblXarajatlar[Sana],A40))</f>
        <v/>
      </c>
      <c r="E40" s="15">
        <f>IF(A40="","",SUMIFS(tblTovargaPul[Summa],tblTovargaPul[Sana],A40))</f>
        <v/>
      </c>
      <c r="F40" s="15">
        <f>IF(A40="","",SUM(C40:E40))</f>
        <v/>
      </c>
      <c r="G40" s="15">
        <f>IF(A40="","",B40-F40)</f>
        <v/>
      </c>
      <c r="H40" s="15">
        <f>IF(A40="","",IF(H39="",StartCash+G40,H39+G40))</f>
        <v/>
      </c>
      <c r="I40" s="5" t="n"/>
    </row>
    <row r="41">
      <c r="A41" s="11">
        <f>IF(OR(B41&gt;0,C41&gt;0),TODAY(),"")</f>
        <v/>
      </c>
      <c r="B41" s="7" t="n"/>
      <c r="C41" s="7" t="n"/>
      <c r="D41" s="15">
        <f>IF(A41="","",SUMIFS(tblXarajatlar[Summa],tblXarajatlar[Sana],A41))</f>
        <v/>
      </c>
      <c r="E41" s="15">
        <f>IF(A41="","",SUMIFS(tblTovargaPul[Summa],tblTovargaPul[Sana],A41))</f>
        <v/>
      </c>
      <c r="F41" s="15">
        <f>IF(A41="","",SUM(C41:E41))</f>
        <v/>
      </c>
      <c r="G41" s="15">
        <f>IF(A41="","",B41-F41)</f>
        <v/>
      </c>
      <c r="H41" s="15">
        <f>IF(A41="","",IF(H40="",StartCash+G41,H40+G41))</f>
        <v/>
      </c>
      <c r="I41" s="5" t="n"/>
    </row>
    <row r="42">
      <c r="A42" s="11">
        <f>IF(OR(B42&gt;0,C42&gt;0),TODAY(),"")</f>
        <v/>
      </c>
      <c r="B42" s="7" t="n"/>
      <c r="C42" s="7" t="n"/>
      <c r="D42" s="15">
        <f>IF(A42="","",SUMIFS(tblXarajatlar[Summa],tblXarajatlar[Sana],A42))</f>
        <v/>
      </c>
      <c r="E42" s="15">
        <f>IF(A42="","",SUMIFS(tblTovargaPul[Summa],tblTovargaPul[Sana],A42))</f>
        <v/>
      </c>
      <c r="F42" s="15">
        <f>IF(A42="","",SUM(C42:E42))</f>
        <v/>
      </c>
      <c r="G42" s="15">
        <f>IF(A42="","",B42-F42)</f>
        <v/>
      </c>
      <c r="H42" s="15">
        <f>IF(A42="","",IF(H41="",StartCash+G42,H41+G42))</f>
        <v/>
      </c>
      <c r="I42" s="5" t="n"/>
    </row>
    <row r="43">
      <c r="A43" s="11">
        <f>IF(OR(B43&gt;0,C43&gt;0),TODAY(),"")</f>
        <v/>
      </c>
      <c r="B43" s="7" t="n"/>
      <c r="C43" s="7" t="n"/>
      <c r="D43" s="15">
        <f>IF(A43="","",SUMIFS(tblXarajatlar[Summa],tblXarajatlar[Sana],A43))</f>
        <v/>
      </c>
      <c r="E43" s="15">
        <f>IF(A43="","",SUMIFS(tblTovargaPul[Summa],tblTovargaPul[Sana],A43))</f>
        <v/>
      </c>
      <c r="F43" s="15">
        <f>IF(A43="","",SUM(C43:E43))</f>
        <v/>
      </c>
      <c r="G43" s="15">
        <f>IF(A43="","",B43-F43)</f>
        <v/>
      </c>
      <c r="H43" s="15">
        <f>IF(A43="","",IF(H42="",StartCash+G43,H42+G43))</f>
        <v/>
      </c>
      <c r="I43" s="5" t="n"/>
    </row>
    <row r="44">
      <c r="A44" s="11">
        <f>IF(OR(B44&gt;0,C44&gt;0),TODAY(),"")</f>
        <v/>
      </c>
      <c r="B44" s="7" t="n"/>
      <c r="C44" s="7" t="n"/>
      <c r="D44" s="15">
        <f>IF(A44="","",SUMIFS(tblXarajatlar[Summa],tblXarajatlar[Sana],A44))</f>
        <v/>
      </c>
      <c r="E44" s="15">
        <f>IF(A44="","",SUMIFS(tblTovargaPul[Summa],tblTovargaPul[Sana],A44))</f>
        <v/>
      </c>
      <c r="F44" s="15">
        <f>IF(A44="","",SUM(C44:E44))</f>
        <v/>
      </c>
      <c r="G44" s="15">
        <f>IF(A44="","",B44-F44)</f>
        <v/>
      </c>
      <c r="H44" s="15">
        <f>IF(A44="","",IF(H43="",StartCash+G44,H43+G44))</f>
        <v/>
      </c>
      <c r="I44" s="5" t="n"/>
    </row>
    <row r="45">
      <c r="A45" s="11">
        <f>IF(OR(B45&gt;0,C45&gt;0),TODAY(),"")</f>
        <v/>
      </c>
      <c r="B45" s="7" t="n"/>
      <c r="C45" s="7" t="n"/>
      <c r="D45" s="15">
        <f>IF(A45="","",SUMIFS(tblXarajatlar[Summa],tblXarajatlar[Sana],A45))</f>
        <v/>
      </c>
      <c r="E45" s="15">
        <f>IF(A45="","",SUMIFS(tblTovargaPul[Summa],tblTovargaPul[Sana],A45))</f>
        <v/>
      </c>
      <c r="F45" s="15">
        <f>IF(A45="","",SUM(C45:E45))</f>
        <v/>
      </c>
      <c r="G45" s="15">
        <f>IF(A45="","",B45-F45)</f>
        <v/>
      </c>
      <c r="H45" s="15">
        <f>IF(A45="","",IF(H44="",StartCash+G45,H44+G45))</f>
        <v/>
      </c>
      <c r="I45" s="5" t="n"/>
    </row>
    <row r="46">
      <c r="A46" s="11">
        <f>IF(OR(B46&gt;0,C46&gt;0),TODAY(),"")</f>
        <v/>
      </c>
      <c r="B46" s="7" t="n"/>
      <c r="C46" s="7" t="n"/>
      <c r="D46" s="15">
        <f>IF(A46="","",SUMIFS(tblXarajatlar[Summa],tblXarajatlar[Sana],A46))</f>
        <v/>
      </c>
      <c r="E46" s="15">
        <f>IF(A46="","",SUMIFS(tblTovargaPul[Summa],tblTovargaPul[Sana],A46))</f>
        <v/>
      </c>
      <c r="F46" s="15">
        <f>IF(A46="","",SUM(C46:E46))</f>
        <v/>
      </c>
      <c r="G46" s="15">
        <f>IF(A46="","",B46-F46)</f>
        <v/>
      </c>
      <c r="H46" s="15">
        <f>IF(A46="","",IF(H45="",StartCash+G46,H45+G46))</f>
        <v/>
      </c>
      <c r="I46" s="5" t="n"/>
    </row>
    <row r="47">
      <c r="A47" s="11">
        <f>IF(OR(B47&gt;0,C47&gt;0),TODAY(),"")</f>
        <v/>
      </c>
      <c r="B47" s="7" t="n"/>
      <c r="C47" s="7" t="n"/>
      <c r="D47" s="15">
        <f>IF(A47="","",SUMIFS(tblXarajatlar[Summa],tblXarajatlar[Sana],A47))</f>
        <v/>
      </c>
      <c r="E47" s="15">
        <f>IF(A47="","",SUMIFS(tblTovargaPul[Summa],tblTovargaPul[Sana],A47))</f>
        <v/>
      </c>
      <c r="F47" s="15">
        <f>IF(A47="","",SUM(C47:E47))</f>
        <v/>
      </c>
      <c r="G47" s="15">
        <f>IF(A47="","",B47-F47)</f>
        <v/>
      </c>
      <c r="H47" s="15">
        <f>IF(A47="","",IF(H46="",StartCash+G47,H46+G47))</f>
        <v/>
      </c>
      <c r="I47" s="5" t="n"/>
    </row>
    <row r="48">
      <c r="A48" s="11">
        <f>IF(OR(B48&gt;0,C48&gt;0),TODAY(),"")</f>
        <v/>
      </c>
      <c r="B48" s="7" t="n"/>
      <c r="C48" s="7" t="n"/>
      <c r="D48" s="15">
        <f>IF(A48="","",SUMIFS(tblXarajatlar[Summa],tblXarajatlar[Sana],A48))</f>
        <v/>
      </c>
      <c r="E48" s="15">
        <f>IF(A48="","",SUMIFS(tblTovargaPul[Summa],tblTovargaPul[Sana],A48))</f>
        <v/>
      </c>
      <c r="F48" s="15">
        <f>IF(A48="","",SUM(C48:E48))</f>
        <v/>
      </c>
      <c r="G48" s="15">
        <f>IF(A48="","",B48-F48)</f>
        <v/>
      </c>
      <c r="H48" s="15">
        <f>IF(A48="","",IF(H47="",StartCash+G48,H47+G48))</f>
        <v/>
      </c>
      <c r="I48" s="5" t="n"/>
    </row>
    <row r="49">
      <c r="A49" s="11">
        <f>IF(OR(B49&gt;0,C49&gt;0),TODAY(),"")</f>
        <v/>
      </c>
      <c r="B49" s="7" t="n"/>
      <c r="C49" s="7" t="n"/>
      <c r="D49" s="15">
        <f>IF(A49="","",SUMIFS(tblXarajatlar[Summa],tblXarajatlar[Sana],A49))</f>
        <v/>
      </c>
      <c r="E49" s="15">
        <f>IF(A49="","",SUMIFS(tblTovargaPul[Summa],tblTovargaPul[Sana],A49))</f>
        <v/>
      </c>
      <c r="F49" s="15">
        <f>IF(A49="","",SUM(C49:E49))</f>
        <v/>
      </c>
      <c r="G49" s="15">
        <f>IF(A49="","",B49-F49)</f>
        <v/>
      </c>
      <c r="H49" s="15">
        <f>IF(A49="","",IF(H48="",StartCash+G49,H48+G49))</f>
        <v/>
      </c>
      <c r="I49" s="5" t="n"/>
    </row>
    <row r="50">
      <c r="A50" s="11">
        <f>IF(OR(B50&gt;0,C50&gt;0),TODAY(),"")</f>
        <v/>
      </c>
      <c r="B50" s="7" t="n"/>
      <c r="C50" s="7" t="n"/>
      <c r="D50" s="15">
        <f>IF(A50="","",SUMIFS(tblXarajatlar[Summa],tblXarajatlar[Sana],A50))</f>
        <v/>
      </c>
      <c r="E50" s="15">
        <f>IF(A50="","",SUMIFS(tblTovargaPul[Summa],tblTovargaPul[Sana],A50))</f>
        <v/>
      </c>
      <c r="F50" s="15">
        <f>IF(A50="","",SUM(C50:E50))</f>
        <v/>
      </c>
      <c r="G50" s="15">
        <f>IF(A50="","",B50-F50)</f>
        <v/>
      </c>
      <c r="H50" s="15">
        <f>IF(A50="","",IF(H49="",StartCash+G50,H49+G50))</f>
        <v/>
      </c>
      <c r="I50" s="5" t="n"/>
    </row>
    <row r="51">
      <c r="A51" s="11">
        <f>IF(OR(B51&gt;0,C51&gt;0),TODAY(),"")</f>
        <v/>
      </c>
      <c r="B51" s="7" t="n"/>
      <c r="C51" s="7" t="n"/>
      <c r="D51" s="15">
        <f>IF(A51="","",SUMIFS(tblXarajatlar[Summa],tblXarajatlar[Sana],A51))</f>
        <v/>
      </c>
      <c r="E51" s="15">
        <f>IF(A51="","",SUMIFS(tblTovargaPul[Summa],tblTovargaPul[Sana],A51))</f>
        <v/>
      </c>
      <c r="F51" s="15">
        <f>IF(A51="","",SUM(C51:E51))</f>
        <v/>
      </c>
      <c r="G51" s="15">
        <f>IF(A51="","",B51-F51)</f>
        <v/>
      </c>
      <c r="H51" s="15">
        <f>IF(A51="","",IF(H50="",StartCash+G51,H50+G51))</f>
        <v/>
      </c>
      <c r="I51" s="5" t="n"/>
    </row>
    <row r="52">
      <c r="A52" s="11">
        <f>IF(OR(B52&gt;0,C52&gt;0),TODAY(),"")</f>
        <v/>
      </c>
      <c r="B52" s="7" t="n"/>
      <c r="C52" s="7" t="n"/>
      <c r="D52" s="15">
        <f>IF(A52="","",SUMIFS(tblXarajatlar[Summa],tblXarajatlar[Sana],A52))</f>
        <v/>
      </c>
      <c r="E52" s="15">
        <f>IF(A52="","",SUMIFS(tblTovargaPul[Summa],tblTovargaPul[Sana],A52))</f>
        <v/>
      </c>
      <c r="F52" s="15">
        <f>IF(A52="","",SUM(C52:E52))</f>
        <v/>
      </c>
      <c r="G52" s="15">
        <f>IF(A52="","",B52-F52)</f>
        <v/>
      </c>
      <c r="H52" s="15">
        <f>IF(A52="","",IF(H51="",StartCash+G52,H51+G52))</f>
        <v/>
      </c>
      <c r="I52" s="5" t="n"/>
    </row>
    <row r="53">
      <c r="A53" s="11">
        <f>IF(OR(B53&gt;0,C53&gt;0),TODAY(),"")</f>
        <v/>
      </c>
      <c r="B53" s="7" t="n"/>
      <c r="C53" s="7" t="n"/>
      <c r="D53" s="15">
        <f>IF(A53="","",SUMIFS(tblXarajatlar[Summa],tblXarajatlar[Sana],A53))</f>
        <v/>
      </c>
      <c r="E53" s="15">
        <f>IF(A53="","",SUMIFS(tblTovargaPul[Summa],tblTovargaPul[Sana],A53))</f>
        <v/>
      </c>
      <c r="F53" s="15">
        <f>IF(A53="","",SUM(C53:E53))</f>
        <v/>
      </c>
      <c r="G53" s="15">
        <f>IF(A53="","",B53-F53)</f>
        <v/>
      </c>
      <c r="H53" s="15">
        <f>IF(A53="","",IF(H52="",StartCash+G53,H52+G53))</f>
        <v/>
      </c>
      <c r="I53" s="5" t="n"/>
    </row>
    <row r="54">
      <c r="A54" s="11">
        <f>IF(OR(B54&gt;0,C54&gt;0),TODAY(),"")</f>
        <v/>
      </c>
      <c r="B54" s="7" t="n"/>
      <c r="C54" s="7" t="n"/>
      <c r="D54" s="15">
        <f>IF(A54="","",SUMIFS(tblXarajatlar[Summa],tblXarajatlar[Sana],A54))</f>
        <v/>
      </c>
      <c r="E54" s="15">
        <f>IF(A54="","",SUMIFS(tblTovargaPul[Summa],tblTovargaPul[Sana],A54))</f>
        <v/>
      </c>
      <c r="F54" s="15">
        <f>IF(A54="","",SUM(C54:E54))</f>
        <v/>
      </c>
      <c r="G54" s="15">
        <f>IF(A54="","",B54-F54)</f>
        <v/>
      </c>
      <c r="H54" s="15">
        <f>IF(A54="","",IF(H53="",StartCash+G54,H53+G54))</f>
        <v/>
      </c>
      <c r="I54" s="5" t="n"/>
    </row>
    <row r="55">
      <c r="A55" s="11">
        <f>IF(OR(B55&gt;0,C55&gt;0),TODAY(),"")</f>
        <v/>
      </c>
      <c r="B55" s="7" t="n"/>
      <c r="C55" s="7" t="n"/>
      <c r="D55" s="15">
        <f>IF(A55="","",SUMIFS(tblXarajatlar[Summa],tblXarajatlar[Sana],A55))</f>
        <v/>
      </c>
      <c r="E55" s="15">
        <f>IF(A55="","",SUMIFS(tblTovargaPul[Summa],tblTovargaPul[Sana],A55))</f>
        <v/>
      </c>
      <c r="F55" s="15">
        <f>IF(A55="","",SUM(C55:E55))</f>
        <v/>
      </c>
      <c r="G55" s="15">
        <f>IF(A55="","",B55-F55)</f>
        <v/>
      </c>
      <c r="H55" s="15">
        <f>IF(A55="","",IF(H54="",StartCash+G55,H54+G55))</f>
        <v/>
      </c>
      <c r="I55" s="5" t="n"/>
    </row>
    <row r="56">
      <c r="A56" s="11">
        <f>IF(OR(B56&gt;0,C56&gt;0),TODAY(),"")</f>
        <v/>
      </c>
      <c r="B56" s="7" t="n"/>
      <c r="C56" s="7" t="n"/>
      <c r="D56" s="15">
        <f>IF(A56="","",SUMIFS(tblXarajatlar[Summa],tblXarajatlar[Sana],A56))</f>
        <v/>
      </c>
      <c r="E56" s="15">
        <f>IF(A56="","",SUMIFS(tblTovargaPul[Summa],tblTovargaPul[Sana],A56))</f>
        <v/>
      </c>
      <c r="F56" s="15">
        <f>IF(A56="","",SUM(C56:E56))</f>
        <v/>
      </c>
      <c r="G56" s="15">
        <f>IF(A56="","",B56-F56)</f>
        <v/>
      </c>
      <c r="H56" s="15">
        <f>IF(A56="","",IF(H55="",StartCash+G56,H55+G56))</f>
        <v/>
      </c>
      <c r="I56" s="5" t="n"/>
    </row>
    <row r="57">
      <c r="A57" s="11">
        <f>IF(OR(B57&gt;0,C57&gt;0),TODAY(),"")</f>
        <v/>
      </c>
      <c r="B57" s="7" t="n"/>
      <c r="C57" s="7" t="n"/>
      <c r="D57" s="15">
        <f>IF(A57="","",SUMIFS(tblXarajatlar[Summa],tblXarajatlar[Sana],A57))</f>
        <v/>
      </c>
      <c r="E57" s="15">
        <f>IF(A57="","",SUMIFS(tblTovargaPul[Summa],tblTovargaPul[Sana],A57))</f>
        <v/>
      </c>
      <c r="F57" s="15">
        <f>IF(A57="","",SUM(C57:E57))</f>
        <v/>
      </c>
      <c r="G57" s="15">
        <f>IF(A57="","",B57-F57)</f>
        <v/>
      </c>
      <c r="H57" s="15">
        <f>IF(A57="","",IF(H56="",StartCash+G57,H56+G57))</f>
        <v/>
      </c>
      <c r="I57" s="5" t="n"/>
    </row>
    <row r="58">
      <c r="A58" s="11">
        <f>IF(OR(B58&gt;0,C58&gt;0),TODAY(),"")</f>
        <v/>
      </c>
      <c r="B58" s="7" t="n"/>
      <c r="C58" s="7" t="n"/>
      <c r="D58" s="15">
        <f>IF(A58="","",SUMIFS(tblXarajatlar[Summa],tblXarajatlar[Sana],A58))</f>
        <v/>
      </c>
      <c r="E58" s="15">
        <f>IF(A58="","",SUMIFS(tblTovargaPul[Summa],tblTovargaPul[Sana],A58))</f>
        <v/>
      </c>
      <c r="F58" s="15">
        <f>IF(A58="","",SUM(C58:E58))</f>
        <v/>
      </c>
      <c r="G58" s="15">
        <f>IF(A58="","",B58-F58)</f>
        <v/>
      </c>
      <c r="H58" s="15">
        <f>IF(A58="","",IF(H57="",StartCash+G58,H57+G58))</f>
        <v/>
      </c>
      <c r="I58" s="5" t="n"/>
    </row>
    <row r="59">
      <c r="A59" s="11">
        <f>IF(OR(B59&gt;0,C59&gt;0),TODAY(),"")</f>
        <v/>
      </c>
      <c r="B59" s="7" t="n"/>
      <c r="C59" s="7" t="n"/>
      <c r="D59" s="15">
        <f>IF(A59="","",SUMIFS(tblXarajatlar[Summa],tblXarajatlar[Sana],A59))</f>
        <v/>
      </c>
      <c r="E59" s="15">
        <f>IF(A59="","",SUMIFS(tblTovargaPul[Summa],tblTovargaPul[Sana],A59))</f>
        <v/>
      </c>
      <c r="F59" s="15">
        <f>IF(A59="","",SUM(C59:E59))</f>
        <v/>
      </c>
      <c r="G59" s="15">
        <f>IF(A59="","",B59-F59)</f>
        <v/>
      </c>
      <c r="H59" s="15">
        <f>IF(A59="","",IF(H58="",StartCash+G59,H58+G59))</f>
        <v/>
      </c>
      <c r="I59" s="5" t="n"/>
    </row>
    <row r="60">
      <c r="A60" s="11">
        <f>IF(OR(B60&gt;0,C60&gt;0),TODAY(),"")</f>
        <v/>
      </c>
      <c r="B60" s="7" t="n"/>
      <c r="C60" s="7" t="n"/>
      <c r="D60" s="15">
        <f>IF(A60="","",SUMIFS(tblXarajatlar[Summa],tblXarajatlar[Sana],A60))</f>
        <v/>
      </c>
      <c r="E60" s="15">
        <f>IF(A60="","",SUMIFS(tblTovargaPul[Summa],tblTovargaPul[Sana],A60))</f>
        <v/>
      </c>
      <c r="F60" s="15">
        <f>IF(A60="","",SUM(C60:E60))</f>
        <v/>
      </c>
      <c r="G60" s="15">
        <f>IF(A60="","",B60-F60)</f>
        <v/>
      </c>
      <c r="H60" s="15">
        <f>IF(A60="","",IF(H59="",StartCash+G60,H59+G60))</f>
        <v/>
      </c>
      <c r="I60" s="5" t="n"/>
    </row>
    <row r="61">
      <c r="A61" s="11">
        <f>IF(OR(B61&gt;0,C61&gt;0),TODAY(),"")</f>
        <v/>
      </c>
      <c r="B61" s="7" t="n"/>
      <c r="C61" s="7" t="n"/>
      <c r="D61" s="15">
        <f>IF(A61="","",SUMIFS(tblXarajatlar[Summa],tblXarajatlar[Sana],A61))</f>
        <v/>
      </c>
      <c r="E61" s="15">
        <f>IF(A61="","",SUMIFS(tblTovargaPul[Summa],tblTovargaPul[Sana],A61))</f>
        <v/>
      </c>
      <c r="F61" s="15">
        <f>IF(A61="","",SUM(C61:E61))</f>
        <v/>
      </c>
      <c r="G61" s="15">
        <f>IF(A61="","",B61-F61)</f>
        <v/>
      </c>
      <c r="H61" s="15">
        <f>IF(A61="","",IF(H60="",StartCash+G61,H60+G61))</f>
        <v/>
      </c>
      <c r="I61" s="5" t="n"/>
    </row>
    <row r="62">
      <c r="A62" s="11">
        <f>IF(OR(B62&gt;0,C62&gt;0),TODAY(),"")</f>
        <v/>
      </c>
      <c r="B62" s="7" t="n"/>
      <c r="C62" s="7" t="n"/>
      <c r="D62" s="15">
        <f>IF(A62="","",SUMIFS(tblXarajatlar[Summa],tblXarajatlar[Sana],A62))</f>
        <v/>
      </c>
      <c r="E62" s="15">
        <f>IF(A62="","",SUMIFS(tblTovargaPul[Summa],tblTovargaPul[Sana],A62))</f>
        <v/>
      </c>
      <c r="F62" s="15">
        <f>IF(A62="","",SUM(C62:E62))</f>
        <v/>
      </c>
      <c r="G62" s="15">
        <f>IF(A62="","",B62-F62)</f>
        <v/>
      </c>
      <c r="H62" s="15">
        <f>IF(A62="","",IF(H61="",StartCash+G62,H61+G62))</f>
        <v/>
      </c>
      <c r="I62" s="5" t="n"/>
    </row>
    <row r="63">
      <c r="A63" s="11">
        <f>IF(OR(B63&gt;0,C63&gt;0),TODAY(),"")</f>
        <v/>
      </c>
      <c r="B63" s="7" t="n"/>
      <c r="C63" s="7" t="n"/>
      <c r="D63" s="15">
        <f>IF(A63="","",SUMIFS(tblXarajatlar[Summa],tblXarajatlar[Sana],A63))</f>
        <v/>
      </c>
      <c r="E63" s="15">
        <f>IF(A63="","",SUMIFS(tblTovargaPul[Summa],tblTovargaPul[Sana],A63))</f>
        <v/>
      </c>
      <c r="F63" s="15">
        <f>IF(A63="","",SUM(C63:E63))</f>
        <v/>
      </c>
      <c r="G63" s="15">
        <f>IF(A63="","",B63-F63)</f>
        <v/>
      </c>
      <c r="H63" s="15">
        <f>IF(A63="","",IF(H62="",StartCash+G63,H62+G63))</f>
        <v/>
      </c>
      <c r="I63" s="5" t="n"/>
    </row>
    <row r="64">
      <c r="A64" s="11">
        <f>IF(OR(B64&gt;0,C64&gt;0),TODAY(),"")</f>
        <v/>
      </c>
      <c r="B64" s="7" t="n"/>
      <c r="C64" s="7" t="n"/>
      <c r="D64" s="15">
        <f>IF(A64="","",SUMIFS(tblXarajatlar[Summa],tblXarajatlar[Sana],A64))</f>
        <v/>
      </c>
      <c r="E64" s="15">
        <f>IF(A64="","",SUMIFS(tblTovargaPul[Summa],tblTovargaPul[Sana],A64))</f>
        <v/>
      </c>
      <c r="F64" s="15">
        <f>IF(A64="","",SUM(C64:E64))</f>
        <v/>
      </c>
      <c r="G64" s="15">
        <f>IF(A64="","",B64-F64)</f>
        <v/>
      </c>
      <c r="H64" s="15">
        <f>IF(A64="","",IF(H63="",StartCash+G64,H63+G64))</f>
        <v/>
      </c>
      <c r="I64" s="5" t="n"/>
    </row>
    <row r="65">
      <c r="A65" s="11">
        <f>IF(OR(B65&gt;0,C65&gt;0),TODAY(),"")</f>
        <v/>
      </c>
      <c r="B65" s="7" t="n"/>
      <c r="C65" s="7" t="n"/>
      <c r="D65" s="15">
        <f>IF(A65="","",SUMIFS(tblXarajatlar[Summa],tblXarajatlar[Sana],A65))</f>
        <v/>
      </c>
      <c r="E65" s="15">
        <f>IF(A65="","",SUMIFS(tblTovargaPul[Summa],tblTovargaPul[Sana],A65))</f>
        <v/>
      </c>
      <c r="F65" s="15">
        <f>IF(A65="","",SUM(C65:E65))</f>
        <v/>
      </c>
      <c r="G65" s="15">
        <f>IF(A65="","",B65-F65)</f>
        <v/>
      </c>
      <c r="H65" s="15">
        <f>IF(A65="","",IF(H64="",StartCash+G65,H64+G65))</f>
        <v/>
      </c>
      <c r="I65" s="5" t="n"/>
    </row>
    <row r="66">
      <c r="A66" s="11">
        <f>IF(OR(B66&gt;0,C66&gt;0),TODAY(),"")</f>
        <v/>
      </c>
      <c r="B66" s="7" t="n"/>
      <c r="C66" s="7" t="n"/>
      <c r="D66" s="15">
        <f>IF(A66="","",SUMIFS(tblXarajatlar[Summa],tblXarajatlar[Sana],A66))</f>
        <v/>
      </c>
      <c r="E66" s="15">
        <f>IF(A66="","",SUMIFS(tblTovargaPul[Summa],tblTovargaPul[Sana],A66))</f>
        <v/>
      </c>
      <c r="F66" s="15">
        <f>IF(A66="","",SUM(C66:E66))</f>
        <v/>
      </c>
      <c r="G66" s="15">
        <f>IF(A66="","",B66-F66)</f>
        <v/>
      </c>
      <c r="H66" s="15">
        <f>IF(A66="","",IF(H65="",StartCash+G66,H65+G66))</f>
        <v/>
      </c>
      <c r="I66" s="5" t="n"/>
    </row>
    <row r="67">
      <c r="A67" s="11">
        <f>IF(OR(B67&gt;0,C67&gt;0),TODAY(),"")</f>
        <v/>
      </c>
      <c r="B67" s="7" t="n"/>
      <c r="C67" s="7" t="n"/>
      <c r="D67" s="15">
        <f>IF(A67="","",SUMIFS(tblXarajatlar[Summa],tblXarajatlar[Sana],A67))</f>
        <v/>
      </c>
      <c r="E67" s="15">
        <f>IF(A67="","",SUMIFS(tblTovargaPul[Summa],tblTovargaPul[Sana],A67))</f>
        <v/>
      </c>
      <c r="F67" s="15">
        <f>IF(A67="","",SUM(C67:E67))</f>
        <v/>
      </c>
      <c r="G67" s="15">
        <f>IF(A67="","",B67-F67)</f>
        <v/>
      </c>
      <c r="H67" s="15">
        <f>IF(A67="","",IF(H66="",StartCash+G67,H66+G67))</f>
        <v/>
      </c>
      <c r="I67" s="5" t="n"/>
    </row>
    <row r="68">
      <c r="A68" s="11">
        <f>IF(OR(B68&gt;0,C68&gt;0),TODAY(),"")</f>
        <v/>
      </c>
      <c r="B68" s="7" t="n"/>
      <c r="C68" s="7" t="n"/>
      <c r="D68" s="15">
        <f>IF(A68="","",SUMIFS(tblXarajatlar[Summa],tblXarajatlar[Sana],A68))</f>
        <v/>
      </c>
      <c r="E68" s="15">
        <f>IF(A68="","",SUMIFS(tblTovargaPul[Summa],tblTovargaPul[Sana],A68))</f>
        <v/>
      </c>
      <c r="F68" s="15">
        <f>IF(A68="","",SUM(C68:E68))</f>
        <v/>
      </c>
      <c r="G68" s="15">
        <f>IF(A68="","",B68-F68)</f>
        <v/>
      </c>
      <c r="H68" s="15">
        <f>IF(A68="","",IF(H67="",StartCash+G68,H67+G68))</f>
        <v/>
      </c>
      <c r="I68" s="5" t="n"/>
    </row>
    <row r="69">
      <c r="A69" s="11">
        <f>IF(OR(B69&gt;0,C69&gt;0),TODAY(),"")</f>
        <v/>
      </c>
      <c r="B69" s="7" t="n"/>
      <c r="C69" s="7" t="n"/>
      <c r="D69" s="15">
        <f>IF(A69="","",SUMIFS(tblXarajatlar[Summa],tblXarajatlar[Sana],A69))</f>
        <v/>
      </c>
      <c r="E69" s="15">
        <f>IF(A69="","",SUMIFS(tblTovargaPul[Summa],tblTovargaPul[Sana],A69))</f>
        <v/>
      </c>
      <c r="F69" s="15">
        <f>IF(A69="","",SUM(C69:E69))</f>
        <v/>
      </c>
      <c r="G69" s="15">
        <f>IF(A69="","",B69-F69)</f>
        <v/>
      </c>
      <c r="H69" s="15">
        <f>IF(A69="","",IF(H68="",StartCash+G69,H68+G69))</f>
        <v/>
      </c>
      <c r="I69" s="5" t="n"/>
    </row>
    <row r="70">
      <c r="A70" s="11">
        <f>IF(OR(B70&gt;0,C70&gt;0),TODAY(),"")</f>
        <v/>
      </c>
      <c r="B70" s="7" t="n"/>
      <c r="C70" s="7" t="n"/>
      <c r="D70" s="15">
        <f>IF(A70="","",SUMIFS(tblXarajatlar[Summa],tblXarajatlar[Sana],A70))</f>
        <v/>
      </c>
      <c r="E70" s="15">
        <f>IF(A70="","",SUMIFS(tblTovargaPul[Summa],tblTovargaPul[Sana],A70))</f>
        <v/>
      </c>
      <c r="F70" s="15">
        <f>IF(A70="","",SUM(C70:E70))</f>
        <v/>
      </c>
      <c r="G70" s="15">
        <f>IF(A70="","",B70-F70)</f>
        <v/>
      </c>
      <c r="H70" s="15">
        <f>IF(A70="","",IF(H69="",StartCash+G70,H69+G70))</f>
        <v/>
      </c>
      <c r="I70" s="5" t="n"/>
    </row>
    <row r="71">
      <c r="A71" s="11">
        <f>IF(OR(B71&gt;0,C71&gt;0),TODAY(),"")</f>
        <v/>
      </c>
      <c r="B71" s="7" t="n"/>
      <c r="C71" s="7" t="n"/>
      <c r="D71" s="15">
        <f>IF(A71="","",SUMIFS(tblXarajatlar[Summa],tblXarajatlar[Sana],A71))</f>
        <v/>
      </c>
      <c r="E71" s="15">
        <f>IF(A71="","",SUMIFS(tblTovargaPul[Summa],tblTovargaPul[Sana],A71))</f>
        <v/>
      </c>
      <c r="F71" s="15">
        <f>IF(A71="","",SUM(C71:E71))</f>
        <v/>
      </c>
      <c r="G71" s="15">
        <f>IF(A71="","",B71-F71)</f>
        <v/>
      </c>
      <c r="H71" s="15">
        <f>IF(A71="","",IF(H70="",StartCash+G71,H70+G71))</f>
        <v/>
      </c>
      <c r="I71" s="5" t="n"/>
    </row>
    <row r="72">
      <c r="A72" s="11">
        <f>IF(OR(B72&gt;0,C72&gt;0),TODAY(),"")</f>
        <v/>
      </c>
      <c r="B72" s="7" t="n"/>
      <c r="C72" s="7" t="n"/>
      <c r="D72" s="15">
        <f>IF(A72="","",SUMIFS(tblXarajatlar[Summa],tblXarajatlar[Sana],A72))</f>
        <v/>
      </c>
      <c r="E72" s="15">
        <f>IF(A72="","",SUMIFS(tblTovargaPul[Summa],tblTovargaPul[Sana],A72))</f>
        <v/>
      </c>
      <c r="F72" s="15">
        <f>IF(A72="","",SUM(C72:E72))</f>
        <v/>
      </c>
      <c r="G72" s="15">
        <f>IF(A72="","",B72-F72)</f>
        <v/>
      </c>
      <c r="H72" s="15">
        <f>IF(A72="","",IF(H71="",StartCash+G72,H71+G72))</f>
        <v/>
      </c>
      <c r="I72" s="5" t="n"/>
    </row>
    <row r="73">
      <c r="A73" s="11">
        <f>IF(OR(B73&gt;0,C73&gt;0),TODAY(),"")</f>
        <v/>
      </c>
      <c r="B73" s="7" t="n"/>
      <c r="C73" s="7" t="n"/>
      <c r="D73" s="15">
        <f>IF(A73="","",SUMIFS(tblXarajatlar[Summa],tblXarajatlar[Sana],A73))</f>
        <v/>
      </c>
      <c r="E73" s="15">
        <f>IF(A73="","",SUMIFS(tblTovargaPul[Summa],tblTovargaPul[Sana],A73))</f>
        <v/>
      </c>
      <c r="F73" s="15">
        <f>IF(A73="","",SUM(C73:E73))</f>
        <v/>
      </c>
      <c r="G73" s="15">
        <f>IF(A73="","",B73-F73)</f>
        <v/>
      </c>
      <c r="H73" s="15">
        <f>IF(A73="","",IF(H72="",StartCash+G73,H72+G73))</f>
        <v/>
      </c>
      <c r="I73" s="5" t="n"/>
    </row>
    <row r="74">
      <c r="A74" s="11">
        <f>IF(OR(B74&gt;0,C74&gt;0),TODAY(),"")</f>
        <v/>
      </c>
      <c r="B74" s="7" t="n"/>
      <c r="C74" s="7" t="n"/>
      <c r="D74" s="15">
        <f>IF(A74="","",SUMIFS(tblXarajatlar[Summa],tblXarajatlar[Sana],A74))</f>
        <v/>
      </c>
      <c r="E74" s="15">
        <f>IF(A74="","",SUMIFS(tblTovargaPul[Summa],tblTovargaPul[Sana],A74))</f>
        <v/>
      </c>
      <c r="F74" s="15">
        <f>IF(A74="","",SUM(C74:E74))</f>
        <v/>
      </c>
      <c r="G74" s="15">
        <f>IF(A74="","",B74-F74)</f>
        <v/>
      </c>
      <c r="H74" s="15">
        <f>IF(A74="","",IF(H73="",StartCash+G74,H73+G74))</f>
        <v/>
      </c>
      <c r="I74" s="5" t="n"/>
    </row>
    <row r="75">
      <c r="A75" s="11">
        <f>IF(OR(B75&gt;0,C75&gt;0),TODAY(),"")</f>
        <v/>
      </c>
      <c r="B75" s="7" t="n"/>
      <c r="C75" s="7" t="n"/>
      <c r="D75" s="15">
        <f>IF(A75="","",SUMIFS(tblXarajatlar[Summa],tblXarajatlar[Sana],A75))</f>
        <v/>
      </c>
      <c r="E75" s="15">
        <f>IF(A75="","",SUMIFS(tblTovargaPul[Summa],tblTovargaPul[Sana],A75))</f>
        <v/>
      </c>
      <c r="F75" s="15">
        <f>IF(A75="","",SUM(C75:E75))</f>
        <v/>
      </c>
      <c r="G75" s="15">
        <f>IF(A75="","",B75-F75)</f>
        <v/>
      </c>
      <c r="H75" s="15">
        <f>IF(A75="","",IF(H74="",StartCash+G75,H74+G75))</f>
        <v/>
      </c>
      <c r="I75" s="5" t="n"/>
    </row>
    <row r="76">
      <c r="A76" s="11">
        <f>IF(OR(B76&gt;0,C76&gt;0),TODAY(),"")</f>
        <v/>
      </c>
      <c r="B76" s="7" t="n"/>
      <c r="C76" s="7" t="n"/>
      <c r="D76" s="15">
        <f>IF(A76="","",SUMIFS(tblXarajatlar[Summa],tblXarajatlar[Sana],A76))</f>
        <v/>
      </c>
      <c r="E76" s="15">
        <f>IF(A76="","",SUMIFS(tblTovargaPul[Summa],tblTovargaPul[Sana],A76))</f>
        <v/>
      </c>
      <c r="F76" s="15">
        <f>IF(A76="","",SUM(C76:E76))</f>
        <v/>
      </c>
      <c r="G76" s="15">
        <f>IF(A76="","",B76-F76)</f>
        <v/>
      </c>
      <c r="H76" s="15">
        <f>IF(A76="","",IF(H75="",StartCash+G76,H75+G76))</f>
        <v/>
      </c>
      <c r="I76" s="5" t="n"/>
    </row>
    <row r="77">
      <c r="A77" s="11">
        <f>IF(OR(B77&gt;0,C77&gt;0),TODAY(),"")</f>
        <v/>
      </c>
      <c r="B77" s="7" t="n"/>
      <c r="C77" s="7" t="n"/>
      <c r="D77" s="15">
        <f>IF(A77="","",SUMIFS(tblXarajatlar[Summa],tblXarajatlar[Sana],A77))</f>
        <v/>
      </c>
      <c r="E77" s="15">
        <f>IF(A77="","",SUMIFS(tblTovargaPul[Summa],tblTovargaPul[Sana],A77))</f>
        <v/>
      </c>
      <c r="F77" s="15">
        <f>IF(A77="","",SUM(C77:E77))</f>
        <v/>
      </c>
      <c r="G77" s="15">
        <f>IF(A77="","",B77-F77)</f>
        <v/>
      </c>
      <c r="H77" s="15">
        <f>IF(A77="","",IF(H76="",StartCash+G77,H76+G77))</f>
        <v/>
      </c>
      <c r="I77" s="5" t="n"/>
    </row>
    <row r="78">
      <c r="A78" s="11">
        <f>IF(OR(B78&gt;0,C78&gt;0),TODAY(),"")</f>
        <v/>
      </c>
      <c r="B78" s="7" t="n"/>
      <c r="C78" s="7" t="n"/>
      <c r="D78" s="15">
        <f>IF(A78="","",SUMIFS(tblXarajatlar[Summa],tblXarajatlar[Sana],A78))</f>
        <v/>
      </c>
      <c r="E78" s="15">
        <f>IF(A78="","",SUMIFS(tblTovargaPul[Summa],tblTovargaPul[Sana],A78))</f>
        <v/>
      </c>
      <c r="F78" s="15">
        <f>IF(A78="","",SUM(C78:E78))</f>
        <v/>
      </c>
      <c r="G78" s="15">
        <f>IF(A78="","",B78-F78)</f>
        <v/>
      </c>
      <c r="H78" s="15">
        <f>IF(A78="","",IF(H77="",StartCash+G78,H77+G78))</f>
        <v/>
      </c>
      <c r="I78" s="5" t="n"/>
    </row>
    <row r="79">
      <c r="A79" s="11">
        <f>IF(OR(B79&gt;0,C79&gt;0),TODAY(),"")</f>
        <v/>
      </c>
      <c r="B79" s="7" t="n"/>
      <c r="C79" s="7" t="n"/>
      <c r="D79" s="15">
        <f>IF(A79="","",SUMIFS(tblXarajatlar[Summa],tblXarajatlar[Sana],A79))</f>
        <v/>
      </c>
      <c r="E79" s="15">
        <f>IF(A79="","",SUMIFS(tblTovargaPul[Summa],tblTovargaPul[Sana],A79))</f>
        <v/>
      </c>
      <c r="F79" s="15">
        <f>IF(A79="","",SUM(C79:E79))</f>
        <v/>
      </c>
      <c r="G79" s="15">
        <f>IF(A79="","",B79-F79)</f>
        <v/>
      </c>
      <c r="H79" s="15">
        <f>IF(A79="","",IF(H78="",StartCash+G79,H78+G79))</f>
        <v/>
      </c>
      <c r="I79" s="5" t="n"/>
    </row>
    <row r="80">
      <c r="A80" s="11">
        <f>IF(OR(B80&gt;0,C80&gt;0),TODAY(),"")</f>
        <v/>
      </c>
      <c r="B80" s="7" t="n"/>
      <c r="C80" s="7" t="n"/>
      <c r="D80" s="15">
        <f>IF(A80="","",SUMIFS(tblXarajatlar[Summa],tblXarajatlar[Sana],A80))</f>
        <v/>
      </c>
      <c r="E80" s="15">
        <f>IF(A80="","",SUMIFS(tblTovargaPul[Summa],tblTovargaPul[Sana],A80))</f>
        <v/>
      </c>
      <c r="F80" s="15">
        <f>IF(A80="","",SUM(C80:E80))</f>
        <v/>
      </c>
      <c r="G80" s="15">
        <f>IF(A80="","",B80-F80)</f>
        <v/>
      </c>
      <c r="H80" s="15">
        <f>IF(A80="","",IF(H79="",StartCash+G80,H79+G80))</f>
        <v/>
      </c>
      <c r="I80" s="5" t="n"/>
    </row>
    <row r="81">
      <c r="A81" s="11">
        <f>IF(OR(B81&gt;0,C81&gt;0),TODAY(),"")</f>
        <v/>
      </c>
      <c r="B81" s="7" t="n"/>
      <c r="C81" s="7" t="n"/>
      <c r="D81" s="15">
        <f>IF(A81="","",SUMIFS(tblXarajatlar[Summa],tblXarajatlar[Sana],A81))</f>
        <v/>
      </c>
      <c r="E81" s="15">
        <f>IF(A81="","",SUMIFS(tblTovargaPul[Summa],tblTovargaPul[Sana],A81))</f>
        <v/>
      </c>
      <c r="F81" s="15">
        <f>IF(A81="","",SUM(C81:E81))</f>
        <v/>
      </c>
      <c r="G81" s="15">
        <f>IF(A81="","",B81-F81)</f>
        <v/>
      </c>
      <c r="H81" s="15">
        <f>IF(A81="","",IF(H80="",StartCash+G81,H80+G81))</f>
        <v/>
      </c>
      <c r="I81" s="5" t="n"/>
    </row>
    <row r="82">
      <c r="A82" s="11">
        <f>IF(OR(B82&gt;0,C82&gt;0),TODAY(),"")</f>
        <v/>
      </c>
      <c r="B82" s="7" t="n"/>
      <c r="C82" s="7" t="n"/>
      <c r="D82" s="15">
        <f>IF(A82="","",SUMIFS(tblXarajatlar[Summa],tblXarajatlar[Sana],A82))</f>
        <v/>
      </c>
      <c r="E82" s="15">
        <f>IF(A82="","",SUMIFS(tblTovargaPul[Summa],tblTovargaPul[Sana],A82))</f>
        <v/>
      </c>
      <c r="F82" s="15">
        <f>IF(A82="","",SUM(C82:E82))</f>
        <v/>
      </c>
      <c r="G82" s="15">
        <f>IF(A82="","",B82-F82)</f>
        <v/>
      </c>
      <c r="H82" s="15">
        <f>IF(A82="","",IF(H81="",StartCash+G82,H81+G82))</f>
        <v/>
      </c>
      <c r="I82" s="5" t="n"/>
    </row>
    <row r="83">
      <c r="A83" s="11">
        <f>IF(OR(B83&gt;0,C83&gt;0),TODAY(),"")</f>
        <v/>
      </c>
      <c r="B83" s="7" t="n"/>
      <c r="C83" s="7" t="n"/>
      <c r="D83" s="15">
        <f>IF(A83="","",SUMIFS(tblXarajatlar[Summa],tblXarajatlar[Sana],A83))</f>
        <v/>
      </c>
      <c r="E83" s="15">
        <f>IF(A83="","",SUMIFS(tblTovargaPul[Summa],tblTovargaPul[Sana],A83))</f>
        <v/>
      </c>
      <c r="F83" s="15">
        <f>IF(A83="","",SUM(C83:E83))</f>
        <v/>
      </c>
      <c r="G83" s="15">
        <f>IF(A83="","",B83-F83)</f>
        <v/>
      </c>
      <c r="H83" s="15">
        <f>IF(A83="","",IF(H82="",StartCash+G83,H82+G83))</f>
        <v/>
      </c>
      <c r="I83" s="5" t="n"/>
    </row>
    <row r="84">
      <c r="A84" s="11">
        <f>IF(OR(B84&gt;0,C84&gt;0),TODAY(),"")</f>
        <v/>
      </c>
      <c r="B84" s="7" t="n"/>
      <c r="C84" s="7" t="n"/>
      <c r="D84" s="15">
        <f>IF(A84="","",SUMIFS(tblXarajatlar[Summa],tblXarajatlar[Sana],A84))</f>
        <v/>
      </c>
      <c r="E84" s="15">
        <f>IF(A84="","",SUMIFS(tblTovargaPul[Summa],tblTovargaPul[Sana],A84))</f>
        <v/>
      </c>
      <c r="F84" s="15">
        <f>IF(A84="","",SUM(C84:E84))</f>
        <v/>
      </c>
      <c r="G84" s="15">
        <f>IF(A84="","",B84-F84)</f>
        <v/>
      </c>
      <c r="H84" s="15">
        <f>IF(A84="","",IF(H83="",StartCash+G84,H83+G84))</f>
        <v/>
      </c>
      <c r="I84" s="5" t="n"/>
    </row>
    <row r="85">
      <c r="A85" s="11">
        <f>IF(OR(B85&gt;0,C85&gt;0),TODAY(),"")</f>
        <v/>
      </c>
      <c r="B85" s="7" t="n"/>
      <c r="C85" s="7" t="n"/>
      <c r="D85" s="15">
        <f>IF(A85="","",SUMIFS(tblXarajatlar[Summa],tblXarajatlar[Sana],A85))</f>
        <v/>
      </c>
      <c r="E85" s="15">
        <f>IF(A85="","",SUMIFS(tblTovargaPul[Summa],tblTovargaPul[Sana],A85))</f>
        <v/>
      </c>
      <c r="F85" s="15">
        <f>IF(A85="","",SUM(C85:E85))</f>
        <v/>
      </c>
      <c r="G85" s="15">
        <f>IF(A85="","",B85-F85)</f>
        <v/>
      </c>
      <c r="H85" s="15">
        <f>IF(A85="","",IF(H84="",StartCash+G85,H84+G85))</f>
        <v/>
      </c>
      <c r="I85" s="5" t="n"/>
    </row>
    <row r="86">
      <c r="A86" s="11">
        <f>IF(OR(B86&gt;0,C86&gt;0),TODAY(),"")</f>
        <v/>
      </c>
      <c r="B86" s="7" t="n"/>
      <c r="C86" s="7" t="n"/>
      <c r="D86" s="15">
        <f>IF(A86="","",SUMIFS(tblXarajatlar[Summa],tblXarajatlar[Sana],A86))</f>
        <v/>
      </c>
      <c r="E86" s="15">
        <f>IF(A86="","",SUMIFS(tblTovargaPul[Summa],tblTovargaPul[Sana],A86))</f>
        <v/>
      </c>
      <c r="F86" s="15">
        <f>IF(A86="","",SUM(C86:E86))</f>
        <v/>
      </c>
      <c r="G86" s="15">
        <f>IF(A86="","",B86-F86)</f>
        <v/>
      </c>
      <c r="H86" s="15">
        <f>IF(A86="","",IF(H85="",StartCash+G86,H85+G86))</f>
        <v/>
      </c>
      <c r="I86" s="5" t="n"/>
    </row>
    <row r="87">
      <c r="A87" s="11">
        <f>IF(OR(B87&gt;0,C87&gt;0),TODAY(),"")</f>
        <v/>
      </c>
      <c r="B87" s="7" t="n"/>
      <c r="C87" s="7" t="n"/>
      <c r="D87" s="15">
        <f>IF(A87="","",SUMIFS(tblXarajatlar[Summa],tblXarajatlar[Sana],A87))</f>
        <v/>
      </c>
      <c r="E87" s="15">
        <f>IF(A87="","",SUMIFS(tblTovargaPul[Summa],tblTovargaPul[Sana],A87))</f>
        <v/>
      </c>
      <c r="F87" s="15">
        <f>IF(A87="","",SUM(C87:E87))</f>
        <v/>
      </c>
      <c r="G87" s="15">
        <f>IF(A87="","",B87-F87)</f>
        <v/>
      </c>
      <c r="H87" s="15">
        <f>IF(A87="","",IF(H86="",StartCash+G87,H86+G87))</f>
        <v/>
      </c>
      <c r="I87" s="5" t="n"/>
    </row>
    <row r="88">
      <c r="A88" s="11">
        <f>IF(OR(B88&gt;0,C88&gt;0),TODAY(),"")</f>
        <v/>
      </c>
      <c r="B88" s="7" t="n"/>
      <c r="C88" s="7" t="n"/>
      <c r="D88" s="15">
        <f>IF(A88="","",SUMIFS(tblXarajatlar[Summa],tblXarajatlar[Sana],A88))</f>
        <v/>
      </c>
      <c r="E88" s="15">
        <f>IF(A88="","",SUMIFS(tblTovargaPul[Summa],tblTovargaPul[Sana],A88))</f>
        <v/>
      </c>
      <c r="F88" s="15">
        <f>IF(A88="","",SUM(C88:E88))</f>
        <v/>
      </c>
      <c r="G88" s="15">
        <f>IF(A88="","",B88-F88)</f>
        <v/>
      </c>
      <c r="H88" s="15">
        <f>IF(A88="","",IF(H87="",StartCash+G88,H87+G88))</f>
        <v/>
      </c>
      <c r="I88" s="5" t="n"/>
    </row>
    <row r="89">
      <c r="A89" s="11">
        <f>IF(OR(B89&gt;0,C89&gt;0),TODAY(),"")</f>
        <v/>
      </c>
      <c r="B89" s="7" t="n"/>
      <c r="C89" s="7" t="n"/>
      <c r="D89" s="15">
        <f>IF(A89="","",SUMIFS(tblXarajatlar[Summa],tblXarajatlar[Sana],A89))</f>
        <v/>
      </c>
      <c r="E89" s="15">
        <f>IF(A89="","",SUMIFS(tblTovargaPul[Summa],tblTovargaPul[Sana],A89))</f>
        <v/>
      </c>
      <c r="F89" s="15">
        <f>IF(A89="","",SUM(C89:E89))</f>
        <v/>
      </c>
      <c r="G89" s="15">
        <f>IF(A89="","",B89-F89)</f>
        <v/>
      </c>
      <c r="H89" s="15">
        <f>IF(A89="","",IF(H88="",StartCash+G89,H88+G89))</f>
        <v/>
      </c>
      <c r="I89" s="5" t="n"/>
    </row>
    <row r="90">
      <c r="A90" s="11">
        <f>IF(OR(B90&gt;0,C90&gt;0),TODAY(),"")</f>
        <v/>
      </c>
      <c r="B90" s="7" t="n"/>
      <c r="C90" s="7" t="n"/>
      <c r="D90" s="15">
        <f>IF(A90="","",SUMIFS(tblXarajatlar[Summa],tblXarajatlar[Sana],A90))</f>
        <v/>
      </c>
      <c r="E90" s="15">
        <f>IF(A90="","",SUMIFS(tblTovargaPul[Summa],tblTovargaPul[Sana],A90))</f>
        <v/>
      </c>
      <c r="F90" s="15">
        <f>IF(A90="","",SUM(C90:E90))</f>
        <v/>
      </c>
      <c r="G90" s="15">
        <f>IF(A90="","",B90-F90)</f>
        <v/>
      </c>
      <c r="H90" s="15">
        <f>IF(A90="","",IF(H89="",StartCash+G90,H89+G90))</f>
        <v/>
      </c>
      <c r="I90" s="5" t="n"/>
    </row>
    <row r="91">
      <c r="A91" s="11">
        <f>IF(OR(B91&gt;0,C91&gt;0),TODAY(),"")</f>
        <v/>
      </c>
      <c r="B91" s="7" t="n"/>
      <c r="C91" s="7" t="n"/>
      <c r="D91" s="15">
        <f>IF(A91="","",SUMIFS(tblXarajatlar[Summa],tblXarajatlar[Sana],A91))</f>
        <v/>
      </c>
      <c r="E91" s="15">
        <f>IF(A91="","",SUMIFS(tblTovargaPul[Summa],tblTovargaPul[Sana],A91))</f>
        <v/>
      </c>
      <c r="F91" s="15">
        <f>IF(A91="","",SUM(C91:E91))</f>
        <v/>
      </c>
      <c r="G91" s="15">
        <f>IF(A91="","",B91-F91)</f>
        <v/>
      </c>
      <c r="H91" s="15">
        <f>IF(A91="","",IF(H90="",StartCash+G91,H90+G91))</f>
        <v/>
      </c>
      <c r="I91" s="5" t="n"/>
    </row>
    <row r="92">
      <c r="A92" s="11">
        <f>IF(OR(B92&gt;0,C92&gt;0),TODAY(),"")</f>
        <v/>
      </c>
      <c r="B92" s="7" t="n"/>
      <c r="C92" s="7" t="n"/>
      <c r="D92" s="15">
        <f>IF(A92="","",SUMIFS(tblXarajatlar[Summa],tblXarajatlar[Sana],A92))</f>
        <v/>
      </c>
      <c r="E92" s="15">
        <f>IF(A92="","",SUMIFS(tblTovargaPul[Summa],tblTovargaPul[Sana],A92))</f>
        <v/>
      </c>
      <c r="F92" s="15">
        <f>IF(A92="","",SUM(C92:E92))</f>
        <v/>
      </c>
      <c r="G92" s="15">
        <f>IF(A92="","",B92-F92)</f>
        <v/>
      </c>
      <c r="H92" s="15">
        <f>IF(A92="","",IF(H91="",StartCash+G92,H91+G92))</f>
        <v/>
      </c>
      <c r="I92" s="5" t="n"/>
    </row>
    <row r="93">
      <c r="A93" s="11">
        <f>IF(OR(B93&gt;0,C93&gt;0),TODAY(),"")</f>
        <v/>
      </c>
      <c r="B93" s="7" t="n"/>
      <c r="C93" s="7" t="n"/>
      <c r="D93" s="15">
        <f>IF(A93="","",SUMIFS(tblXarajatlar[Summa],tblXarajatlar[Sana],A93))</f>
        <v/>
      </c>
      <c r="E93" s="15">
        <f>IF(A93="","",SUMIFS(tblTovargaPul[Summa],tblTovargaPul[Sana],A93))</f>
        <v/>
      </c>
      <c r="F93" s="15">
        <f>IF(A93="","",SUM(C93:E93))</f>
        <v/>
      </c>
      <c r="G93" s="15">
        <f>IF(A93="","",B93-F93)</f>
        <v/>
      </c>
      <c r="H93" s="15">
        <f>IF(A93="","",IF(H92="",StartCash+G93,H92+G93))</f>
        <v/>
      </c>
      <c r="I93" s="5" t="n"/>
    </row>
    <row r="94">
      <c r="A94" s="11">
        <f>IF(OR(B94&gt;0,C94&gt;0),TODAY(),"")</f>
        <v/>
      </c>
      <c r="B94" s="7" t="n"/>
      <c r="C94" s="7" t="n"/>
      <c r="D94" s="15">
        <f>IF(A94="","",SUMIFS(tblXarajatlar[Summa],tblXarajatlar[Sana],A94))</f>
        <v/>
      </c>
      <c r="E94" s="15">
        <f>IF(A94="","",SUMIFS(tblTovargaPul[Summa],tblTovargaPul[Sana],A94))</f>
        <v/>
      </c>
      <c r="F94" s="15">
        <f>IF(A94="","",SUM(C94:E94))</f>
        <v/>
      </c>
      <c r="G94" s="15">
        <f>IF(A94="","",B94-F94)</f>
        <v/>
      </c>
      <c r="H94" s="15">
        <f>IF(A94="","",IF(H93="",StartCash+G94,H93+G94))</f>
        <v/>
      </c>
      <c r="I94" s="5" t="n"/>
    </row>
    <row r="95">
      <c r="A95" s="11">
        <f>IF(OR(B95&gt;0,C95&gt;0),TODAY(),"")</f>
        <v/>
      </c>
      <c r="B95" s="7" t="n"/>
      <c r="C95" s="7" t="n"/>
      <c r="D95" s="15">
        <f>IF(A95="","",SUMIFS(tblXarajatlar[Summa],tblXarajatlar[Sana],A95))</f>
        <v/>
      </c>
      <c r="E95" s="15">
        <f>IF(A95="","",SUMIFS(tblTovargaPul[Summa],tblTovargaPul[Sana],A95))</f>
        <v/>
      </c>
      <c r="F95" s="15">
        <f>IF(A95="","",SUM(C95:E95))</f>
        <v/>
      </c>
      <c r="G95" s="15">
        <f>IF(A95="","",B95-F95)</f>
        <v/>
      </c>
      <c r="H95" s="15">
        <f>IF(A95="","",IF(H94="",StartCash+G95,H94+G95))</f>
        <v/>
      </c>
      <c r="I95" s="5" t="n"/>
    </row>
    <row r="96">
      <c r="A96" s="11">
        <f>IF(OR(B96&gt;0,C96&gt;0),TODAY(),"")</f>
        <v/>
      </c>
      <c r="B96" s="7" t="n"/>
      <c r="C96" s="7" t="n"/>
      <c r="D96" s="15">
        <f>IF(A96="","",SUMIFS(tblXarajatlar[Summa],tblXarajatlar[Sana],A96))</f>
        <v/>
      </c>
      <c r="E96" s="15">
        <f>IF(A96="","",SUMIFS(tblTovargaPul[Summa],tblTovargaPul[Sana],A96))</f>
        <v/>
      </c>
      <c r="F96" s="15">
        <f>IF(A96="","",SUM(C96:E96))</f>
        <v/>
      </c>
      <c r="G96" s="15">
        <f>IF(A96="","",B96-F96)</f>
        <v/>
      </c>
      <c r="H96" s="15">
        <f>IF(A96="","",IF(H95="",StartCash+G96,H95+G96))</f>
        <v/>
      </c>
      <c r="I96" s="5" t="n"/>
    </row>
    <row r="97">
      <c r="A97" s="11">
        <f>IF(OR(B97&gt;0,C97&gt;0),TODAY(),"")</f>
        <v/>
      </c>
      <c r="B97" s="7" t="n"/>
      <c r="C97" s="7" t="n"/>
      <c r="D97" s="15">
        <f>IF(A97="","",SUMIFS(tblXarajatlar[Summa],tblXarajatlar[Sana],A97))</f>
        <v/>
      </c>
      <c r="E97" s="15">
        <f>IF(A97="","",SUMIFS(tblTovargaPul[Summa],tblTovargaPul[Sana],A97))</f>
        <v/>
      </c>
      <c r="F97" s="15">
        <f>IF(A97="","",SUM(C97:E97))</f>
        <v/>
      </c>
      <c r="G97" s="15">
        <f>IF(A97="","",B97-F97)</f>
        <v/>
      </c>
      <c r="H97" s="15">
        <f>IF(A97="","",IF(H96="",StartCash+G97,H96+G97))</f>
        <v/>
      </c>
      <c r="I97" s="5" t="n"/>
    </row>
    <row r="98">
      <c r="A98" s="11">
        <f>IF(OR(B98&gt;0,C98&gt;0),TODAY(),"")</f>
        <v/>
      </c>
      <c r="B98" s="7" t="n"/>
      <c r="C98" s="7" t="n"/>
      <c r="D98" s="15">
        <f>IF(A98="","",SUMIFS(tblXarajatlar[Summa],tblXarajatlar[Sana],A98))</f>
        <v/>
      </c>
      <c r="E98" s="15">
        <f>IF(A98="","",SUMIFS(tblTovargaPul[Summa],tblTovargaPul[Sana],A98))</f>
        <v/>
      </c>
      <c r="F98" s="15">
        <f>IF(A98="","",SUM(C98:E98))</f>
        <v/>
      </c>
      <c r="G98" s="15">
        <f>IF(A98="","",B98-F98)</f>
        <v/>
      </c>
      <c r="H98" s="15">
        <f>IF(A98="","",IF(H97="",StartCash+G98,H97+G98))</f>
        <v/>
      </c>
      <c r="I98" s="5" t="n"/>
    </row>
    <row r="99">
      <c r="A99" s="11">
        <f>IF(OR(B99&gt;0,C99&gt;0),TODAY(),"")</f>
        <v/>
      </c>
      <c r="B99" s="7" t="n"/>
      <c r="C99" s="7" t="n"/>
      <c r="D99" s="15">
        <f>IF(A99="","",SUMIFS(tblXarajatlar[Summa],tblXarajatlar[Sana],A99))</f>
        <v/>
      </c>
      <c r="E99" s="15">
        <f>IF(A99="","",SUMIFS(tblTovargaPul[Summa],tblTovargaPul[Sana],A99))</f>
        <v/>
      </c>
      <c r="F99" s="15">
        <f>IF(A99="","",SUM(C99:E99))</f>
        <v/>
      </c>
      <c r="G99" s="15">
        <f>IF(A99="","",B99-F99)</f>
        <v/>
      </c>
      <c r="H99" s="15">
        <f>IF(A99="","",IF(H98="",StartCash+G99,H98+G99))</f>
        <v/>
      </c>
      <c r="I99" s="5" t="n"/>
    </row>
    <row r="100">
      <c r="A100" s="11">
        <f>IF(OR(B100&gt;0,C100&gt;0),TODAY(),"")</f>
        <v/>
      </c>
      <c r="B100" s="7" t="n"/>
      <c r="C100" s="7" t="n"/>
      <c r="D100" s="15">
        <f>IF(A100="","",SUMIFS(tblXarajatlar[Summa],tblXarajatlar[Sana],A100))</f>
        <v/>
      </c>
      <c r="E100" s="15">
        <f>IF(A100="","",SUMIFS(tblTovargaPul[Summa],tblTovargaPul[Sana],A100))</f>
        <v/>
      </c>
      <c r="F100" s="15">
        <f>IF(A100="","",SUM(C100:E100))</f>
        <v/>
      </c>
      <c r="G100" s="15">
        <f>IF(A100="","",B100-F100)</f>
        <v/>
      </c>
      <c r="H100" s="15">
        <f>IF(A100="","",IF(H99="",StartCash+G100,H99+G100))</f>
        <v/>
      </c>
      <c r="I100" s="5" t="n"/>
    </row>
    <row r="101">
      <c r="A101" s="11">
        <f>IF(OR(B101&gt;0,C101&gt;0),TODAY(),"")</f>
        <v/>
      </c>
      <c r="B101" s="7" t="n"/>
      <c r="C101" s="7" t="n"/>
      <c r="D101" s="15">
        <f>IF(A101="","",SUMIFS(tblXarajatlar[Summa],tblXarajatlar[Sana],A101))</f>
        <v/>
      </c>
      <c r="E101" s="15">
        <f>IF(A101="","",SUMIFS(tblTovargaPul[Summa],tblTovargaPul[Sana],A101))</f>
        <v/>
      </c>
      <c r="F101" s="15">
        <f>IF(A101="","",SUM(C101:E101))</f>
        <v/>
      </c>
      <c r="G101" s="15">
        <f>IF(A101="","",B101-F101)</f>
        <v/>
      </c>
      <c r="H101" s="15">
        <f>IF(A101="","",IF(H100="",StartCash+G101,H100+G101))</f>
        <v/>
      </c>
      <c r="I101" s="5" t="n"/>
    </row>
    <row r="102">
      <c r="A102" s="11">
        <f>IF(OR(B102&gt;0,C102&gt;0),TODAY(),"")</f>
        <v/>
      </c>
      <c r="B102" s="7" t="n"/>
      <c r="C102" s="7" t="n"/>
      <c r="D102" s="15">
        <f>IF(A102="","",SUMIFS(tblXarajatlar[Summa],tblXarajatlar[Sana],A102))</f>
        <v/>
      </c>
      <c r="E102" s="15">
        <f>IF(A102="","",SUMIFS(tblTovargaPul[Summa],tblTovargaPul[Sana],A102))</f>
        <v/>
      </c>
      <c r="F102" s="15">
        <f>IF(A102="","",SUM(C102:E102))</f>
        <v/>
      </c>
      <c r="G102" s="15">
        <f>IF(A102="","",B102-F102)</f>
        <v/>
      </c>
      <c r="H102" s="15">
        <f>IF(A102="","",IF(H101="",StartCash+G102,H101+G102))</f>
        <v/>
      </c>
      <c r="I102" s="5" t="n"/>
    </row>
    <row r="103">
      <c r="A103" s="11">
        <f>IF(OR(B103&gt;0,C103&gt;0),TODAY(),"")</f>
        <v/>
      </c>
      <c r="B103" s="7" t="n"/>
      <c r="C103" s="7" t="n"/>
      <c r="D103" s="15">
        <f>IF(A103="","",SUMIFS(tblXarajatlar[Summa],tblXarajatlar[Sana],A103))</f>
        <v/>
      </c>
      <c r="E103" s="15">
        <f>IF(A103="","",SUMIFS(tblTovargaPul[Summa],tblTovargaPul[Sana],A103))</f>
        <v/>
      </c>
      <c r="F103" s="15">
        <f>IF(A103="","",SUM(C103:E103))</f>
        <v/>
      </c>
      <c r="G103" s="15">
        <f>IF(A103="","",B103-F103)</f>
        <v/>
      </c>
      <c r="H103" s="15">
        <f>IF(A103="","",IF(H102="",StartCash+G103,H102+G103))</f>
        <v/>
      </c>
      <c r="I103" s="5" t="n"/>
    </row>
    <row r="104">
      <c r="A104" s="11">
        <f>IF(OR(B104&gt;0,C104&gt;0),TODAY(),"")</f>
        <v/>
      </c>
      <c r="B104" s="7" t="n"/>
      <c r="C104" s="7" t="n"/>
      <c r="D104" s="15">
        <f>IF(A104="","",SUMIFS(tblXarajatlar[Summa],tblXarajatlar[Sana],A104))</f>
        <v/>
      </c>
      <c r="E104" s="15">
        <f>IF(A104="","",SUMIFS(tblTovargaPul[Summa],tblTovargaPul[Sana],A104))</f>
        <v/>
      </c>
      <c r="F104" s="15">
        <f>IF(A104="","",SUM(C104:E104))</f>
        <v/>
      </c>
      <c r="G104" s="15">
        <f>IF(A104="","",B104-F104)</f>
        <v/>
      </c>
      <c r="H104" s="15">
        <f>IF(A104="","",IF(H103="",StartCash+G104,H103+G104))</f>
        <v/>
      </c>
      <c r="I104" s="5" t="n"/>
    </row>
  </sheetData>
  <mergeCells count="2">
    <mergeCell ref="A1:I1"/>
    <mergeCell ref="A2:I2"/>
  </mergeCells>
  <pageMargins left="0.5" right="0.5" top="0.6" bottom="0.6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2" customWidth="1" min="5" max="5"/>
    <col width="18" customWidth="1" min="6" max="6"/>
    <col width="13" customWidth="1" min="7" max="7"/>
    <col width="10" customWidth="1" min="8" max="8"/>
  </cols>
  <sheetData>
    <row r="1" ht="28" customHeight="1">
      <c r="A1" s="1" t="inlineStr">
        <is>
          <t>Oldi-berdi</t>
        </is>
      </c>
    </row>
    <row r="2" ht="36" customHeight="1">
      <c r="A2" s="2" t="inlineStr">
        <is>
          <t>Kod + Berdim/Oldim. Berdim = odam sizga qarzdor (+). Oldim = qarz qoplandi. Balans = Berdim − Oldim.</t>
        </is>
      </c>
    </row>
    <row r="4" ht="32" customHeight="1">
      <c r="A4" s="3" t="inlineStr">
        <is>
          <t>Kod</t>
        </is>
      </c>
      <c r="B4" s="3" t="inlineStr">
        <is>
          <t>Berdim</t>
        </is>
      </c>
      <c r="C4" s="3" t="inlineStr">
        <is>
          <t>Oldim</t>
        </is>
      </c>
      <c r="D4" s="3" t="inlineStr">
        <is>
          <t>Izoh</t>
        </is>
      </c>
      <c r="E4" s="3" t="inlineStr">
        <is>
          <t>Sana</t>
        </is>
      </c>
      <c r="F4" s="3" t="inlineStr">
        <is>
          <t>Odam</t>
        </is>
      </c>
      <c r="G4" s="3" t="inlineStr">
        <is>
          <t>Qator_balans</t>
        </is>
      </c>
      <c r="H4" s="3" t="inlineStr">
        <is>
          <t>Belgi</t>
        </is>
      </c>
    </row>
    <row r="5">
      <c r="A5" s="9" t="inlineStr">
        <is>
          <t>SH</t>
        </is>
      </c>
      <c r="B5" s="7" t="n">
        <v>200000</v>
      </c>
      <c r="C5" s="7" t="n">
        <v>0</v>
      </c>
      <c r="D5" s="5" t="inlineStr">
        <is>
          <t>Qarz berdim</t>
        </is>
      </c>
      <c r="E5" s="11" t="n">
        <v>46235</v>
      </c>
      <c r="F5" s="12">
        <f>IF(A5="","",IFERROR(INDEX(OdamlarIsm,MATCH(A5,OdamlarKod,0)),"?"))</f>
        <v/>
      </c>
      <c r="G5" s="15">
        <f>B5-C5</f>
        <v/>
      </c>
      <c r="H5" s="13" t="inlineStr">
        <is>
          <t>Namuna</t>
        </is>
      </c>
    </row>
    <row r="6">
      <c r="A6" s="9" t="inlineStr">
        <is>
          <t>JA</t>
        </is>
      </c>
      <c r="B6" s="7" t="n">
        <v>0</v>
      </c>
      <c r="C6" s="7" t="n">
        <v>150000</v>
      </c>
      <c r="D6" s="5" t="inlineStr">
        <is>
          <t>Oldingi qarz qoplandi</t>
        </is>
      </c>
      <c r="E6" s="11" t="n">
        <v>46237</v>
      </c>
      <c r="F6" s="12">
        <f>IF(A6="","",IFERROR(INDEX(OdamlarIsm,MATCH(A6,OdamlarKod,0)),"?"))</f>
        <v/>
      </c>
      <c r="G6" s="15">
        <f>B6-C6</f>
        <v/>
      </c>
      <c r="H6" s="13" t="inlineStr">
        <is>
          <t>Namuna</t>
        </is>
      </c>
    </row>
    <row r="7">
      <c r="A7" s="9" t="inlineStr">
        <is>
          <t>SI</t>
        </is>
      </c>
      <c r="B7" s="7" t="n">
        <v>50000</v>
      </c>
      <c r="C7" s="7" t="n">
        <v>0</v>
      </c>
      <c r="D7" s="5" t="inlineStr">
        <is>
          <t>Vaqtincha</t>
        </is>
      </c>
      <c r="E7" s="11" t="n">
        <v>46238</v>
      </c>
      <c r="F7" s="12">
        <f>IF(A7="","",IFERROR(INDEX(OdamlarIsm,MATCH(A7,OdamlarKod,0)),"?"))</f>
        <v/>
      </c>
      <c r="G7" s="15">
        <f>B7-C7</f>
        <v/>
      </c>
      <c r="H7" s="13" t="inlineStr">
        <is>
          <t>Namuna</t>
        </is>
      </c>
    </row>
    <row r="8">
      <c r="A8" s="9" t="n"/>
      <c r="B8" s="7" t="n"/>
      <c r="C8" s="7" t="n"/>
      <c r="D8" s="5" t="n"/>
      <c r="E8" s="11">
        <f>IF(OR(A8&lt;&gt;"",B8&gt;0,C8&gt;0),TODAY(),"")</f>
        <v/>
      </c>
      <c r="F8" s="12">
        <f>IF(A8="","",IFERROR(INDEX(OdamlarIsm,MATCH(A8,OdamlarKod,0)),"?"))</f>
        <v/>
      </c>
      <c r="G8" s="15">
        <f>IF(OR(A8="",AND(B8="",C8="")),"",B8-C8)</f>
        <v/>
      </c>
      <c r="H8" s="5" t="n"/>
    </row>
    <row r="9">
      <c r="A9" s="9" t="n"/>
      <c r="B9" s="7" t="n"/>
      <c r="C9" s="7" t="n"/>
      <c r="D9" s="5" t="n"/>
      <c r="E9" s="11">
        <f>IF(OR(A9&lt;&gt;"",B9&gt;0,C9&gt;0),TODAY(),"")</f>
        <v/>
      </c>
      <c r="F9" s="12">
        <f>IF(A9="","",IFERROR(INDEX(OdamlarIsm,MATCH(A9,OdamlarKod,0)),"?"))</f>
        <v/>
      </c>
      <c r="G9" s="15">
        <f>IF(OR(A9="",AND(B9="",C9="")),"",B9-C9)</f>
        <v/>
      </c>
      <c r="H9" s="5" t="n"/>
    </row>
    <row r="10">
      <c r="A10" s="9" t="n"/>
      <c r="B10" s="7" t="n"/>
      <c r="C10" s="7" t="n"/>
      <c r="D10" s="5" t="n"/>
      <c r="E10" s="11">
        <f>IF(OR(A10&lt;&gt;"",B10&gt;0,C10&gt;0),TODAY(),"")</f>
        <v/>
      </c>
      <c r="F10" s="12">
        <f>IF(A10="","",IFERROR(INDEX(OdamlarIsm,MATCH(A10,OdamlarKod,0)),"?"))</f>
        <v/>
      </c>
      <c r="G10" s="15">
        <f>IF(OR(A10="",AND(B10="",C10="")),"",B10-C10)</f>
        <v/>
      </c>
      <c r="H10" s="5" t="n"/>
    </row>
    <row r="11">
      <c r="A11" s="9" t="n"/>
      <c r="B11" s="7" t="n"/>
      <c r="C11" s="7" t="n"/>
      <c r="D11" s="5" t="n"/>
      <c r="E11" s="11">
        <f>IF(OR(A11&lt;&gt;"",B11&gt;0,C11&gt;0),TODAY(),"")</f>
        <v/>
      </c>
      <c r="F11" s="12">
        <f>IF(A11="","",IFERROR(INDEX(OdamlarIsm,MATCH(A11,OdamlarKod,0)),"?"))</f>
        <v/>
      </c>
      <c r="G11" s="15">
        <f>IF(OR(A11="",AND(B11="",C11="")),"",B11-C11)</f>
        <v/>
      </c>
      <c r="H11" s="5" t="n"/>
    </row>
    <row r="12">
      <c r="A12" s="9" t="n"/>
      <c r="B12" s="7" t="n"/>
      <c r="C12" s="7" t="n"/>
      <c r="D12" s="5" t="n"/>
      <c r="E12" s="11">
        <f>IF(OR(A12&lt;&gt;"",B12&gt;0,C12&gt;0),TODAY(),"")</f>
        <v/>
      </c>
      <c r="F12" s="12">
        <f>IF(A12="","",IFERROR(INDEX(OdamlarIsm,MATCH(A12,OdamlarKod,0)),"?"))</f>
        <v/>
      </c>
      <c r="G12" s="15">
        <f>IF(OR(A12="",AND(B12="",C12="")),"",B12-C12)</f>
        <v/>
      </c>
      <c r="H12" s="5" t="n"/>
    </row>
    <row r="13">
      <c r="A13" s="9" t="n"/>
      <c r="B13" s="7" t="n"/>
      <c r="C13" s="7" t="n"/>
      <c r="D13" s="5" t="n"/>
      <c r="E13" s="11">
        <f>IF(OR(A13&lt;&gt;"",B13&gt;0,C13&gt;0),TODAY(),"")</f>
        <v/>
      </c>
      <c r="F13" s="12">
        <f>IF(A13="","",IFERROR(INDEX(OdamlarIsm,MATCH(A13,OdamlarKod,0)),"?"))</f>
        <v/>
      </c>
      <c r="G13" s="15">
        <f>IF(OR(A13="",AND(B13="",C13="")),"",B13-C13)</f>
        <v/>
      </c>
      <c r="H13" s="5" t="n"/>
    </row>
    <row r="14">
      <c r="A14" s="9" t="n"/>
      <c r="B14" s="7" t="n"/>
      <c r="C14" s="7" t="n"/>
      <c r="D14" s="5" t="n"/>
      <c r="E14" s="11">
        <f>IF(OR(A14&lt;&gt;"",B14&gt;0,C14&gt;0),TODAY(),"")</f>
        <v/>
      </c>
      <c r="F14" s="12">
        <f>IF(A14="","",IFERROR(INDEX(OdamlarIsm,MATCH(A14,OdamlarKod,0)),"?"))</f>
        <v/>
      </c>
      <c r="G14" s="15">
        <f>IF(OR(A14="",AND(B14="",C14="")),"",B14-C14)</f>
        <v/>
      </c>
      <c r="H14" s="5" t="n"/>
    </row>
    <row r="15">
      <c r="A15" s="9" t="n"/>
      <c r="B15" s="7" t="n"/>
      <c r="C15" s="7" t="n"/>
      <c r="D15" s="5" t="n"/>
      <c r="E15" s="11">
        <f>IF(OR(A15&lt;&gt;"",B15&gt;0,C15&gt;0),TODAY(),"")</f>
        <v/>
      </c>
      <c r="F15" s="12">
        <f>IF(A15="","",IFERROR(INDEX(OdamlarIsm,MATCH(A15,OdamlarKod,0)),"?"))</f>
        <v/>
      </c>
      <c r="G15" s="15">
        <f>IF(OR(A15="",AND(B15="",C15="")),"",B15-C15)</f>
        <v/>
      </c>
      <c r="H15" s="5" t="n"/>
    </row>
    <row r="16">
      <c r="A16" s="9" t="n"/>
      <c r="B16" s="7" t="n"/>
      <c r="C16" s="7" t="n"/>
      <c r="D16" s="5" t="n"/>
      <c r="E16" s="11">
        <f>IF(OR(A16&lt;&gt;"",B16&gt;0,C16&gt;0),TODAY(),"")</f>
        <v/>
      </c>
      <c r="F16" s="12">
        <f>IF(A16="","",IFERROR(INDEX(OdamlarIsm,MATCH(A16,OdamlarKod,0)),"?"))</f>
        <v/>
      </c>
      <c r="G16" s="15">
        <f>IF(OR(A16="",AND(B16="",C16="")),"",B16-C16)</f>
        <v/>
      </c>
      <c r="H16" s="5" t="n"/>
    </row>
    <row r="17">
      <c r="A17" s="9" t="n"/>
      <c r="B17" s="7" t="n"/>
      <c r="C17" s="7" t="n"/>
      <c r="D17" s="5" t="n"/>
      <c r="E17" s="11">
        <f>IF(OR(A17&lt;&gt;"",B17&gt;0,C17&gt;0),TODAY(),"")</f>
        <v/>
      </c>
      <c r="F17" s="12">
        <f>IF(A17="","",IFERROR(INDEX(OdamlarIsm,MATCH(A17,OdamlarKod,0)),"?"))</f>
        <v/>
      </c>
      <c r="G17" s="15">
        <f>IF(OR(A17="",AND(B17="",C17="")),"",B17-C17)</f>
        <v/>
      </c>
      <c r="H17" s="5" t="n"/>
    </row>
    <row r="18">
      <c r="A18" s="9" t="n"/>
      <c r="B18" s="7" t="n"/>
      <c r="C18" s="7" t="n"/>
      <c r="D18" s="5" t="n"/>
      <c r="E18" s="11">
        <f>IF(OR(A18&lt;&gt;"",B18&gt;0,C18&gt;0),TODAY(),"")</f>
        <v/>
      </c>
      <c r="F18" s="12">
        <f>IF(A18="","",IFERROR(INDEX(OdamlarIsm,MATCH(A18,OdamlarKod,0)),"?"))</f>
        <v/>
      </c>
      <c r="G18" s="15">
        <f>IF(OR(A18="",AND(B18="",C18="")),"",B18-C18)</f>
        <v/>
      </c>
      <c r="H18" s="5" t="n"/>
    </row>
    <row r="19">
      <c r="A19" s="9" t="n"/>
      <c r="B19" s="7" t="n"/>
      <c r="C19" s="7" t="n"/>
      <c r="D19" s="5" t="n"/>
      <c r="E19" s="11">
        <f>IF(OR(A19&lt;&gt;"",B19&gt;0,C19&gt;0),TODAY(),"")</f>
        <v/>
      </c>
      <c r="F19" s="12">
        <f>IF(A19="","",IFERROR(INDEX(OdamlarIsm,MATCH(A19,OdamlarKod,0)),"?"))</f>
        <v/>
      </c>
      <c r="G19" s="15">
        <f>IF(OR(A19="",AND(B19="",C19="")),"",B19-C19)</f>
        <v/>
      </c>
      <c r="H19" s="5" t="n"/>
    </row>
    <row r="20">
      <c r="A20" s="9" t="n"/>
      <c r="B20" s="7" t="n"/>
      <c r="C20" s="7" t="n"/>
      <c r="D20" s="5" t="n"/>
      <c r="E20" s="11">
        <f>IF(OR(A20&lt;&gt;"",B20&gt;0,C20&gt;0),TODAY(),"")</f>
        <v/>
      </c>
      <c r="F20" s="12">
        <f>IF(A20="","",IFERROR(INDEX(OdamlarIsm,MATCH(A20,OdamlarKod,0)),"?"))</f>
        <v/>
      </c>
      <c r="G20" s="15">
        <f>IF(OR(A20="",AND(B20="",C20="")),"",B20-C20)</f>
        <v/>
      </c>
      <c r="H20" s="5" t="n"/>
    </row>
    <row r="21">
      <c r="A21" s="9" t="n"/>
      <c r="B21" s="7" t="n"/>
      <c r="C21" s="7" t="n"/>
      <c r="D21" s="5" t="n"/>
      <c r="E21" s="11">
        <f>IF(OR(A21&lt;&gt;"",B21&gt;0,C21&gt;0),TODAY(),"")</f>
        <v/>
      </c>
      <c r="F21" s="12">
        <f>IF(A21="","",IFERROR(INDEX(OdamlarIsm,MATCH(A21,OdamlarKod,0)),"?"))</f>
        <v/>
      </c>
      <c r="G21" s="15">
        <f>IF(OR(A21="",AND(B21="",C21="")),"",B21-C21)</f>
        <v/>
      </c>
      <c r="H21" s="5" t="n"/>
    </row>
    <row r="22">
      <c r="A22" s="9" t="n"/>
      <c r="B22" s="7" t="n"/>
      <c r="C22" s="7" t="n"/>
      <c r="D22" s="5" t="n"/>
      <c r="E22" s="11">
        <f>IF(OR(A22&lt;&gt;"",B22&gt;0,C22&gt;0),TODAY(),"")</f>
        <v/>
      </c>
      <c r="F22" s="12">
        <f>IF(A22="","",IFERROR(INDEX(OdamlarIsm,MATCH(A22,OdamlarKod,0)),"?"))</f>
        <v/>
      </c>
      <c r="G22" s="15">
        <f>IF(OR(A22="",AND(B22="",C22="")),"",B22-C22)</f>
        <v/>
      </c>
      <c r="H22" s="5" t="n"/>
    </row>
    <row r="23">
      <c r="A23" s="9" t="n"/>
      <c r="B23" s="7" t="n"/>
      <c r="C23" s="7" t="n"/>
      <c r="D23" s="5" t="n"/>
      <c r="E23" s="11">
        <f>IF(OR(A23&lt;&gt;"",B23&gt;0,C23&gt;0),TODAY(),"")</f>
        <v/>
      </c>
      <c r="F23" s="12">
        <f>IF(A23="","",IFERROR(INDEX(OdamlarIsm,MATCH(A23,OdamlarKod,0)),"?"))</f>
        <v/>
      </c>
      <c r="G23" s="15">
        <f>IF(OR(A23="",AND(B23="",C23="")),"",B23-C23)</f>
        <v/>
      </c>
      <c r="H23" s="5" t="n"/>
    </row>
    <row r="24">
      <c r="A24" s="9" t="n"/>
      <c r="B24" s="7" t="n"/>
      <c r="C24" s="7" t="n"/>
      <c r="D24" s="5" t="n"/>
      <c r="E24" s="11">
        <f>IF(OR(A24&lt;&gt;"",B24&gt;0,C24&gt;0),TODAY(),"")</f>
        <v/>
      </c>
      <c r="F24" s="12">
        <f>IF(A24="","",IFERROR(INDEX(OdamlarIsm,MATCH(A24,OdamlarKod,0)),"?"))</f>
        <v/>
      </c>
      <c r="G24" s="15">
        <f>IF(OR(A24="",AND(B24="",C24="")),"",B24-C24)</f>
        <v/>
      </c>
      <c r="H24" s="5" t="n"/>
    </row>
    <row r="25">
      <c r="A25" s="9" t="n"/>
      <c r="B25" s="7" t="n"/>
      <c r="C25" s="7" t="n"/>
      <c r="D25" s="5" t="n"/>
      <c r="E25" s="11">
        <f>IF(OR(A25&lt;&gt;"",B25&gt;0,C25&gt;0),TODAY(),"")</f>
        <v/>
      </c>
      <c r="F25" s="12">
        <f>IF(A25="","",IFERROR(INDEX(OdamlarIsm,MATCH(A25,OdamlarKod,0)),"?"))</f>
        <v/>
      </c>
      <c r="G25" s="15">
        <f>IF(OR(A25="",AND(B25="",C25="")),"",B25-C25)</f>
        <v/>
      </c>
      <c r="H25" s="5" t="n"/>
    </row>
    <row r="26">
      <c r="A26" s="9" t="n"/>
      <c r="B26" s="7" t="n"/>
      <c r="C26" s="7" t="n"/>
      <c r="D26" s="5" t="n"/>
      <c r="E26" s="11">
        <f>IF(OR(A26&lt;&gt;"",B26&gt;0,C26&gt;0),TODAY(),"")</f>
        <v/>
      </c>
      <c r="F26" s="12">
        <f>IF(A26="","",IFERROR(INDEX(OdamlarIsm,MATCH(A26,OdamlarKod,0)),"?"))</f>
        <v/>
      </c>
      <c r="G26" s="15">
        <f>IF(OR(A26="",AND(B26="",C26="")),"",B26-C26)</f>
        <v/>
      </c>
      <c r="H26" s="5" t="n"/>
    </row>
    <row r="27">
      <c r="A27" s="9" t="n"/>
      <c r="B27" s="7" t="n"/>
      <c r="C27" s="7" t="n"/>
      <c r="D27" s="5" t="n"/>
      <c r="E27" s="11">
        <f>IF(OR(A27&lt;&gt;"",B27&gt;0,C27&gt;0),TODAY(),"")</f>
        <v/>
      </c>
      <c r="F27" s="12">
        <f>IF(A27="","",IFERROR(INDEX(OdamlarIsm,MATCH(A27,OdamlarKod,0)),"?"))</f>
        <v/>
      </c>
      <c r="G27" s="15">
        <f>IF(OR(A27="",AND(B27="",C27="")),"",B27-C27)</f>
        <v/>
      </c>
      <c r="H27" s="5" t="n"/>
    </row>
    <row r="28">
      <c r="A28" s="9" t="n"/>
      <c r="B28" s="7" t="n"/>
      <c r="C28" s="7" t="n"/>
      <c r="D28" s="5" t="n"/>
      <c r="E28" s="11">
        <f>IF(OR(A28&lt;&gt;"",B28&gt;0,C28&gt;0),TODAY(),"")</f>
        <v/>
      </c>
      <c r="F28" s="12">
        <f>IF(A28="","",IFERROR(INDEX(OdamlarIsm,MATCH(A28,OdamlarKod,0)),"?"))</f>
        <v/>
      </c>
      <c r="G28" s="15">
        <f>IF(OR(A28="",AND(B28="",C28="")),"",B28-C28)</f>
        <v/>
      </c>
      <c r="H28" s="5" t="n"/>
    </row>
    <row r="29">
      <c r="A29" s="9" t="n"/>
      <c r="B29" s="7" t="n"/>
      <c r="C29" s="7" t="n"/>
      <c r="D29" s="5" t="n"/>
      <c r="E29" s="11">
        <f>IF(OR(A29&lt;&gt;"",B29&gt;0,C29&gt;0),TODAY(),"")</f>
        <v/>
      </c>
      <c r="F29" s="12">
        <f>IF(A29="","",IFERROR(INDEX(OdamlarIsm,MATCH(A29,OdamlarKod,0)),"?"))</f>
        <v/>
      </c>
      <c r="G29" s="15">
        <f>IF(OR(A29="",AND(B29="",C29="")),"",B29-C29)</f>
        <v/>
      </c>
      <c r="H29" s="5" t="n"/>
    </row>
    <row r="30">
      <c r="A30" s="9" t="n"/>
      <c r="B30" s="7" t="n"/>
      <c r="C30" s="7" t="n"/>
      <c r="D30" s="5" t="n"/>
      <c r="E30" s="11">
        <f>IF(OR(A30&lt;&gt;"",B30&gt;0,C30&gt;0),TODAY(),"")</f>
        <v/>
      </c>
      <c r="F30" s="12">
        <f>IF(A30="","",IFERROR(INDEX(OdamlarIsm,MATCH(A30,OdamlarKod,0)),"?"))</f>
        <v/>
      </c>
      <c r="G30" s="15">
        <f>IF(OR(A30="",AND(B30="",C30="")),"",B30-C30)</f>
        <v/>
      </c>
      <c r="H30" s="5" t="n"/>
    </row>
    <row r="31">
      <c r="A31" s="9" t="n"/>
      <c r="B31" s="7" t="n"/>
      <c r="C31" s="7" t="n"/>
      <c r="D31" s="5" t="n"/>
      <c r="E31" s="11">
        <f>IF(OR(A31&lt;&gt;"",B31&gt;0,C31&gt;0),TODAY(),"")</f>
        <v/>
      </c>
      <c r="F31" s="12">
        <f>IF(A31="","",IFERROR(INDEX(OdamlarIsm,MATCH(A31,OdamlarKod,0)),"?"))</f>
        <v/>
      </c>
      <c r="G31" s="15">
        <f>IF(OR(A31="",AND(B31="",C31="")),"",B31-C31)</f>
        <v/>
      </c>
      <c r="H31" s="5" t="n"/>
    </row>
    <row r="32">
      <c r="A32" s="9" t="n"/>
      <c r="B32" s="7" t="n"/>
      <c r="C32" s="7" t="n"/>
      <c r="D32" s="5" t="n"/>
      <c r="E32" s="11">
        <f>IF(OR(A32&lt;&gt;"",B32&gt;0,C32&gt;0),TODAY(),"")</f>
        <v/>
      </c>
      <c r="F32" s="12">
        <f>IF(A32="","",IFERROR(INDEX(OdamlarIsm,MATCH(A32,OdamlarKod,0)),"?"))</f>
        <v/>
      </c>
      <c r="G32" s="15">
        <f>IF(OR(A32="",AND(B32="",C32="")),"",B32-C32)</f>
        <v/>
      </c>
      <c r="H32" s="5" t="n"/>
    </row>
    <row r="33">
      <c r="A33" s="9" t="n"/>
      <c r="B33" s="7" t="n"/>
      <c r="C33" s="7" t="n"/>
      <c r="D33" s="5" t="n"/>
      <c r="E33" s="11">
        <f>IF(OR(A33&lt;&gt;"",B33&gt;0,C33&gt;0),TODAY(),"")</f>
        <v/>
      </c>
      <c r="F33" s="12">
        <f>IF(A33="","",IFERROR(INDEX(OdamlarIsm,MATCH(A33,OdamlarKod,0)),"?"))</f>
        <v/>
      </c>
      <c r="G33" s="15">
        <f>IF(OR(A33="",AND(B33="",C33="")),"",B33-C33)</f>
        <v/>
      </c>
      <c r="H33" s="5" t="n"/>
    </row>
    <row r="34">
      <c r="A34" s="9" t="n"/>
      <c r="B34" s="7" t="n"/>
      <c r="C34" s="7" t="n"/>
      <c r="D34" s="5" t="n"/>
      <c r="E34" s="11">
        <f>IF(OR(A34&lt;&gt;"",B34&gt;0,C34&gt;0),TODAY(),"")</f>
        <v/>
      </c>
      <c r="F34" s="12">
        <f>IF(A34="","",IFERROR(INDEX(OdamlarIsm,MATCH(A34,OdamlarKod,0)),"?"))</f>
        <v/>
      </c>
      <c r="G34" s="15">
        <f>IF(OR(A34="",AND(B34="",C34="")),"",B34-C34)</f>
        <v/>
      </c>
      <c r="H34" s="5" t="n"/>
    </row>
    <row r="35">
      <c r="A35" s="9" t="n"/>
      <c r="B35" s="7" t="n"/>
      <c r="C35" s="7" t="n"/>
      <c r="D35" s="5" t="n"/>
      <c r="E35" s="11">
        <f>IF(OR(A35&lt;&gt;"",B35&gt;0,C35&gt;0),TODAY(),"")</f>
        <v/>
      </c>
      <c r="F35" s="12">
        <f>IF(A35="","",IFERROR(INDEX(OdamlarIsm,MATCH(A35,OdamlarKod,0)),"?"))</f>
        <v/>
      </c>
      <c r="G35" s="15">
        <f>IF(OR(A35="",AND(B35="",C35="")),"",B35-C35)</f>
        <v/>
      </c>
      <c r="H35" s="5" t="n"/>
    </row>
    <row r="36">
      <c r="A36" s="9" t="n"/>
      <c r="B36" s="7" t="n"/>
      <c r="C36" s="7" t="n"/>
      <c r="D36" s="5" t="n"/>
      <c r="E36" s="11">
        <f>IF(OR(A36&lt;&gt;"",B36&gt;0,C36&gt;0),TODAY(),"")</f>
        <v/>
      </c>
      <c r="F36" s="12">
        <f>IF(A36="","",IFERROR(INDEX(OdamlarIsm,MATCH(A36,OdamlarKod,0)),"?"))</f>
        <v/>
      </c>
      <c r="G36" s="15">
        <f>IF(OR(A36="",AND(B36="",C36="")),"",B36-C36)</f>
        <v/>
      </c>
      <c r="H36" s="5" t="n"/>
    </row>
    <row r="37">
      <c r="A37" s="9" t="n"/>
      <c r="B37" s="7" t="n"/>
      <c r="C37" s="7" t="n"/>
      <c r="D37" s="5" t="n"/>
      <c r="E37" s="11">
        <f>IF(OR(A37&lt;&gt;"",B37&gt;0,C37&gt;0),TODAY(),"")</f>
        <v/>
      </c>
      <c r="F37" s="12">
        <f>IF(A37="","",IFERROR(INDEX(OdamlarIsm,MATCH(A37,OdamlarKod,0)),"?"))</f>
        <v/>
      </c>
      <c r="G37" s="15">
        <f>IF(OR(A37="",AND(B37="",C37="")),"",B37-C37)</f>
        <v/>
      </c>
      <c r="H37" s="5" t="n"/>
    </row>
    <row r="38">
      <c r="A38" s="9" t="n"/>
      <c r="B38" s="7" t="n"/>
      <c r="C38" s="7" t="n"/>
      <c r="D38" s="5" t="n"/>
      <c r="E38" s="11">
        <f>IF(OR(A38&lt;&gt;"",B38&gt;0,C38&gt;0),TODAY(),"")</f>
        <v/>
      </c>
      <c r="F38" s="12">
        <f>IF(A38="","",IFERROR(INDEX(OdamlarIsm,MATCH(A38,OdamlarKod,0)),"?"))</f>
        <v/>
      </c>
      <c r="G38" s="15">
        <f>IF(OR(A38="",AND(B38="",C38="")),"",B38-C38)</f>
        <v/>
      </c>
      <c r="H38" s="5" t="n"/>
    </row>
    <row r="39">
      <c r="A39" s="9" t="n"/>
      <c r="B39" s="7" t="n"/>
      <c r="C39" s="7" t="n"/>
      <c r="D39" s="5" t="n"/>
      <c r="E39" s="11">
        <f>IF(OR(A39&lt;&gt;"",B39&gt;0,C39&gt;0),TODAY(),"")</f>
        <v/>
      </c>
      <c r="F39" s="12">
        <f>IF(A39="","",IFERROR(INDEX(OdamlarIsm,MATCH(A39,OdamlarKod,0)),"?"))</f>
        <v/>
      </c>
      <c r="G39" s="15">
        <f>IF(OR(A39="",AND(B39="",C39="")),"",B39-C39)</f>
        <v/>
      </c>
      <c r="H39" s="5" t="n"/>
    </row>
    <row r="40">
      <c r="A40" s="9" t="n"/>
      <c r="B40" s="7" t="n"/>
      <c r="C40" s="7" t="n"/>
      <c r="D40" s="5" t="n"/>
      <c r="E40" s="11">
        <f>IF(OR(A40&lt;&gt;"",B40&gt;0,C40&gt;0),TODAY(),"")</f>
        <v/>
      </c>
      <c r="F40" s="12">
        <f>IF(A40="","",IFERROR(INDEX(OdamlarIsm,MATCH(A40,OdamlarKod,0)),"?"))</f>
        <v/>
      </c>
      <c r="G40" s="15">
        <f>IF(OR(A40="",AND(B40="",C40="")),"",B40-C40)</f>
        <v/>
      </c>
      <c r="H40" s="5" t="n"/>
    </row>
    <row r="41">
      <c r="A41" s="9" t="n"/>
      <c r="B41" s="7" t="n"/>
      <c r="C41" s="7" t="n"/>
      <c r="D41" s="5" t="n"/>
      <c r="E41" s="11">
        <f>IF(OR(A41&lt;&gt;"",B41&gt;0,C41&gt;0),TODAY(),"")</f>
        <v/>
      </c>
      <c r="F41" s="12">
        <f>IF(A41="","",IFERROR(INDEX(OdamlarIsm,MATCH(A41,OdamlarKod,0)),"?"))</f>
        <v/>
      </c>
      <c r="G41" s="15">
        <f>IF(OR(A41="",AND(B41="",C41="")),"",B41-C41)</f>
        <v/>
      </c>
      <c r="H41" s="5" t="n"/>
    </row>
    <row r="42">
      <c r="A42" s="9" t="n"/>
      <c r="B42" s="7" t="n"/>
      <c r="C42" s="7" t="n"/>
      <c r="D42" s="5" t="n"/>
      <c r="E42" s="11">
        <f>IF(OR(A42&lt;&gt;"",B42&gt;0,C42&gt;0),TODAY(),"")</f>
        <v/>
      </c>
      <c r="F42" s="12">
        <f>IF(A42="","",IFERROR(INDEX(OdamlarIsm,MATCH(A42,OdamlarKod,0)),"?"))</f>
        <v/>
      </c>
      <c r="G42" s="15">
        <f>IF(OR(A42="",AND(B42="",C42="")),"",B42-C42)</f>
        <v/>
      </c>
      <c r="H42" s="5" t="n"/>
    </row>
    <row r="43">
      <c r="A43" s="9" t="n"/>
      <c r="B43" s="7" t="n"/>
      <c r="C43" s="7" t="n"/>
      <c r="D43" s="5" t="n"/>
      <c r="E43" s="11">
        <f>IF(OR(A43&lt;&gt;"",B43&gt;0,C43&gt;0),TODAY(),"")</f>
        <v/>
      </c>
      <c r="F43" s="12">
        <f>IF(A43="","",IFERROR(INDEX(OdamlarIsm,MATCH(A43,OdamlarKod,0)),"?"))</f>
        <v/>
      </c>
      <c r="G43" s="15">
        <f>IF(OR(A43="",AND(B43="",C43="")),"",B43-C43)</f>
        <v/>
      </c>
      <c r="H43" s="5" t="n"/>
    </row>
    <row r="44">
      <c r="A44" s="9" t="n"/>
      <c r="B44" s="7" t="n"/>
      <c r="C44" s="7" t="n"/>
      <c r="D44" s="5" t="n"/>
      <c r="E44" s="11">
        <f>IF(OR(A44&lt;&gt;"",B44&gt;0,C44&gt;0),TODAY(),"")</f>
        <v/>
      </c>
      <c r="F44" s="12">
        <f>IF(A44="","",IFERROR(INDEX(OdamlarIsm,MATCH(A44,OdamlarKod,0)),"?"))</f>
        <v/>
      </c>
      <c r="G44" s="15">
        <f>IF(OR(A44="",AND(B44="",C44="")),"",B44-C44)</f>
        <v/>
      </c>
      <c r="H44" s="5" t="n"/>
    </row>
    <row r="45">
      <c r="A45" s="9" t="n"/>
      <c r="B45" s="7" t="n"/>
      <c r="C45" s="7" t="n"/>
      <c r="D45" s="5" t="n"/>
      <c r="E45" s="11">
        <f>IF(OR(A45&lt;&gt;"",B45&gt;0,C45&gt;0),TODAY(),"")</f>
        <v/>
      </c>
      <c r="F45" s="12">
        <f>IF(A45="","",IFERROR(INDEX(OdamlarIsm,MATCH(A45,OdamlarKod,0)),"?"))</f>
        <v/>
      </c>
      <c r="G45" s="15">
        <f>IF(OR(A45="",AND(B45="",C45="")),"",B45-C45)</f>
        <v/>
      </c>
      <c r="H45" s="5" t="n"/>
    </row>
    <row r="46">
      <c r="A46" s="9" t="n"/>
      <c r="B46" s="7" t="n"/>
      <c r="C46" s="7" t="n"/>
      <c r="D46" s="5" t="n"/>
      <c r="E46" s="11">
        <f>IF(OR(A46&lt;&gt;"",B46&gt;0,C46&gt;0),TODAY(),"")</f>
        <v/>
      </c>
      <c r="F46" s="12">
        <f>IF(A46="","",IFERROR(INDEX(OdamlarIsm,MATCH(A46,OdamlarKod,0)),"?"))</f>
        <v/>
      </c>
      <c r="G46" s="15">
        <f>IF(OR(A46="",AND(B46="",C46="")),"",B46-C46)</f>
        <v/>
      </c>
      <c r="H46" s="5" t="n"/>
    </row>
    <row r="47">
      <c r="A47" s="9" t="n"/>
      <c r="B47" s="7" t="n"/>
      <c r="C47" s="7" t="n"/>
      <c r="D47" s="5" t="n"/>
      <c r="E47" s="11">
        <f>IF(OR(A47&lt;&gt;"",B47&gt;0,C47&gt;0),TODAY(),"")</f>
        <v/>
      </c>
      <c r="F47" s="12">
        <f>IF(A47="","",IFERROR(INDEX(OdamlarIsm,MATCH(A47,OdamlarKod,0)),"?"))</f>
        <v/>
      </c>
      <c r="G47" s="15">
        <f>IF(OR(A47="",AND(B47="",C47="")),"",B47-C47)</f>
        <v/>
      </c>
      <c r="H47" s="5" t="n"/>
    </row>
    <row r="48">
      <c r="A48" s="9" t="n"/>
      <c r="B48" s="7" t="n"/>
      <c r="C48" s="7" t="n"/>
      <c r="D48" s="5" t="n"/>
      <c r="E48" s="11">
        <f>IF(OR(A48&lt;&gt;"",B48&gt;0,C48&gt;0),TODAY(),"")</f>
        <v/>
      </c>
      <c r="F48" s="12">
        <f>IF(A48="","",IFERROR(INDEX(OdamlarIsm,MATCH(A48,OdamlarKod,0)),"?"))</f>
        <v/>
      </c>
      <c r="G48" s="15">
        <f>IF(OR(A48="",AND(B48="",C48="")),"",B48-C48)</f>
        <v/>
      </c>
      <c r="H48" s="5" t="n"/>
    </row>
    <row r="49">
      <c r="A49" s="9" t="n"/>
      <c r="B49" s="7" t="n"/>
      <c r="C49" s="7" t="n"/>
      <c r="D49" s="5" t="n"/>
      <c r="E49" s="11">
        <f>IF(OR(A49&lt;&gt;"",B49&gt;0,C49&gt;0),TODAY(),"")</f>
        <v/>
      </c>
      <c r="F49" s="12">
        <f>IF(A49="","",IFERROR(INDEX(OdamlarIsm,MATCH(A49,OdamlarKod,0)),"?"))</f>
        <v/>
      </c>
      <c r="G49" s="15">
        <f>IF(OR(A49="",AND(B49="",C49="")),"",B49-C49)</f>
        <v/>
      </c>
      <c r="H49" s="5" t="n"/>
    </row>
    <row r="50">
      <c r="A50" s="9" t="n"/>
      <c r="B50" s="7" t="n"/>
      <c r="C50" s="7" t="n"/>
      <c r="D50" s="5" t="n"/>
      <c r="E50" s="11">
        <f>IF(OR(A50&lt;&gt;"",B50&gt;0,C50&gt;0),TODAY(),"")</f>
        <v/>
      </c>
      <c r="F50" s="12">
        <f>IF(A50="","",IFERROR(INDEX(OdamlarIsm,MATCH(A50,OdamlarKod,0)),"?"))</f>
        <v/>
      </c>
      <c r="G50" s="15">
        <f>IF(OR(A50="",AND(B50="",C50="")),"",B50-C50)</f>
        <v/>
      </c>
      <c r="H50" s="5" t="n"/>
    </row>
    <row r="51">
      <c r="A51" s="9" t="n"/>
      <c r="B51" s="7" t="n"/>
      <c r="C51" s="7" t="n"/>
      <c r="D51" s="5" t="n"/>
      <c r="E51" s="11">
        <f>IF(OR(A51&lt;&gt;"",B51&gt;0,C51&gt;0),TODAY(),"")</f>
        <v/>
      </c>
      <c r="F51" s="12">
        <f>IF(A51="","",IFERROR(INDEX(OdamlarIsm,MATCH(A51,OdamlarKod,0)),"?"))</f>
        <v/>
      </c>
      <c r="G51" s="15">
        <f>IF(OR(A51="",AND(B51="",C51="")),"",B51-C51)</f>
        <v/>
      </c>
      <c r="H51" s="5" t="n"/>
    </row>
    <row r="52">
      <c r="A52" s="9" t="n"/>
      <c r="B52" s="7" t="n"/>
      <c r="C52" s="7" t="n"/>
      <c r="D52" s="5" t="n"/>
      <c r="E52" s="11">
        <f>IF(OR(A52&lt;&gt;"",B52&gt;0,C52&gt;0),TODAY(),"")</f>
        <v/>
      </c>
      <c r="F52" s="12">
        <f>IF(A52="","",IFERROR(INDEX(OdamlarIsm,MATCH(A52,OdamlarKod,0)),"?"))</f>
        <v/>
      </c>
      <c r="G52" s="15">
        <f>IF(OR(A52="",AND(B52="",C52="")),"",B52-C52)</f>
        <v/>
      </c>
      <c r="H52" s="5" t="n"/>
    </row>
    <row r="53">
      <c r="A53" s="9" t="n"/>
      <c r="B53" s="7" t="n"/>
      <c r="C53" s="7" t="n"/>
      <c r="D53" s="5" t="n"/>
      <c r="E53" s="11">
        <f>IF(OR(A53&lt;&gt;"",B53&gt;0,C53&gt;0),TODAY(),"")</f>
        <v/>
      </c>
      <c r="F53" s="12">
        <f>IF(A53="","",IFERROR(INDEX(OdamlarIsm,MATCH(A53,OdamlarKod,0)),"?"))</f>
        <v/>
      </c>
      <c r="G53" s="15">
        <f>IF(OR(A53="",AND(B53="",C53="")),"",B53-C53)</f>
        <v/>
      </c>
      <c r="H53" s="5" t="n"/>
    </row>
    <row r="54">
      <c r="A54" s="9" t="n"/>
      <c r="B54" s="7" t="n"/>
      <c r="C54" s="7" t="n"/>
      <c r="D54" s="5" t="n"/>
      <c r="E54" s="11">
        <f>IF(OR(A54&lt;&gt;"",B54&gt;0,C54&gt;0),TODAY(),"")</f>
        <v/>
      </c>
      <c r="F54" s="12">
        <f>IF(A54="","",IFERROR(INDEX(OdamlarIsm,MATCH(A54,OdamlarKod,0)),"?"))</f>
        <v/>
      </c>
      <c r="G54" s="15">
        <f>IF(OR(A54="",AND(B54="",C54="")),"",B54-C54)</f>
        <v/>
      </c>
      <c r="H54" s="5" t="n"/>
    </row>
    <row r="55">
      <c r="A55" s="9" t="n"/>
      <c r="B55" s="7" t="n"/>
      <c r="C55" s="7" t="n"/>
      <c r="D55" s="5" t="n"/>
      <c r="E55" s="11">
        <f>IF(OR(A55&lt;&gt;"",B55&gt;0,C55&gt;0),TODAY(),"")</f>
        <v/>
      </c>
      <c r="F55" s="12">
        <f>IF(A55="","",IFERROR(INDEX(OdamlarIsm,MATCH(A55,OdamlarKod,0)),"?"))</f>
        <v/>
      </c>
      <c r="G55" s="15">
        <f>IF(OR(A55="",AND(B55="",C55="")),"",B55-C55)</f>
        <v/>
      </c>
      <c r="H55" s="5" t="n"/>
    </row>
    <row r="56">
      <c r="A56" s="9" t="n"/>
      <c r="B56" s="7" t="n"/>
      <c r="C56" s="7" t="n"/>
      <c r="D56" s="5" t="n"/>
      <c r="E56" s="11">
        <f>IF(OR(A56&lt;&gt;"",B56&gt;0,C56&gt;0),TODAY(),"")</f>
        <v/>
      </c>
      <c r="F56" s="12">
        <f>IF(A56="","",IFERROR(INDEX(OdamlarIsm,MATCH(A56,OdamlarKod,0)),"?"))</f>
        <v/>
      </c>
      <c r="G56" s="15">
        <f>IF(OR(A56="",AND(B56="",C56="")),"",B56-C56)</f>
        <v/>
      </c>
      <c r="H56" s="5" t="n"/>
    </row>
    <row r="57">
      <c r="A57" s="9" t="n"/>
      <c r="B57" s="7" t="n"/>
      <c r="C57" s="7" t="n"/>
      <c r="D57" s="5" t="n"/>
      <c r="E57" s="11">
        <f>IF(OR(A57&lt;&gt;"",B57&gt;0,C57&gt;0),TODAY(),"")</f>
        <v/>
      </c>
      <c r="F57" s="12">
        <f>IF(A57="","",IFERROR(INDEX(OdamlarIsm,MATCH(A57,OdamlarKod,0)),"?"))</f>
        <v/>
      </c>
      <c r="G57" s="15">
        <f>IF(OR(A57="",AND(B57="",C57="")),"",B57-C57)</f>
        <v/>
      </c>
      <c r="H57" s="5" t="n"/>
    </row>
    <row r="58">
      <c r="A58" s="9" t="n"/>
      <c r="B58" s="7" t="n"/>
      <c r="C58" s="7" t="n"/>
      <c r="D58" s="5" t="n"/>
      <c r="E58" s="11">
        <f>IF(OR(A58&lt;&gt;"",B58&gt;0,C58&gt;0),TODAY(),"")</f>
        <v/>
      </c>
      <c r="F58" s="12">
        <f>IF(A58="","",IFERROR(INDEX(OdamlarIsm,MATCH(A58,OdamlarKod,0)),"?"))</f>
        <v/>
      </c>
      <c r="G58" s="15">
        <f>IF(OR(A58="",AND(B58="",C58="")),"",B58-C58)</f>
        <v/>
      </c>
      <c r="H58" s="5" t="n"/>
    </row>
    <row r="59">
      <c r="A59" s="9" t="n"/>
      <c r="B59" s="7" t="n"/>
      <c r="C59" s="7" t="n"/>
      <c r="D59" s="5" t="n"/>
      <c r="E59" s="11">
        <f>IF(OR(A59&lt;&gt;"",B59&gt;0,C59&gt;0),TODAY(),"")</f>
        <v/>
      </c>
      <c r="F59" s="12">
        <f>IF(A59="","",IFERROR(INDEX(OdamlarIsm,MATCH(A59,OdamlarKod,0)),"?"))</f>
        <v/>
      </c>
      <c r="G59" s="15">
        <f>IF(OR(A59="",AND(B59="",C59="")),"",B59-C59)</f>
        <v/>
      </c>
      <c r="H59" s="5" t="n"/>
    </row>
    <row r="60">
      <c r="A60" s="9" t="n"/>
      <c r="B60" s="7" t="n"/>
      <c r="C60" s="7" t="n"/>
      <c r="D60" s="5" t="n"/>
      <c r="E60" s="11">
        <f>IF(OR(A60&lt;&gt;"",B60&gt;0,C60&gt;0),TODAY(),"")</f>
        <v/>
      </c>
      <c r="F60" s="12">
        <f>IF(A60="","",IFERROR(INDEX(OdamlarIsm,MATCH(A60,OdamlarKod,0)),"?"))</f>
        <v/>
      </c>
      <c r="G60" s="15">
        <f>IF(OR(A60="",AND(B60="",C60="")),"",B60-C60)</f>
        <v/>
      </c>
      <c r="H60" s="5" t="n"/>
    </row>
    <row r="61">
      <c r="A61" s="9" t="n"/>
      <c r="B61" s="7" t="n"/>
      <c r="C61" s="7" t="n"/>
      <c r="D61" s="5" t="n"/>
      <c r="E61" s="11">
        <f>IF(OR(A61&lt;&gt;"",B61&gt;0,C61&gt;0),TODAY(),"")</f>
        <v/>
      </c>
      <c r="F61" s="12">
        <f>IF(A61="","",IFERROR(INDEX(OdamlarIsm,MATCH(A61,OdamlarKod,0)),"?"))</f>
        <v/>
      </c>
      <c r="G61" s="15">
        <f>IF(OR(A61="",AND(B61="",C61="")),"",B61-C61)</f>
        <v/>
      </c>
      <c r="H61" s="5" t="n"/>
    </row>
    <row r="62">
      <c r="A62" s="9" t="n"/>
      <c r="B62" s="7" t="n"/>
      <c r="C62" s="7" t="n"/>
      <c r="D62" s="5" t="n"/>
      <c r="E62" s="11">
        <f>IF(OR(A62&lt;&gt;"",B62&gt;0,C62&gt;0),TODAY(),"")</f>
        <v/>
      </c>
      <c r="F62" s="12">
        <f>IF(A62="","",IFERROR(INDEX(OdamlarIsm,MATCH(A62,OdamlarKod,0)),"?"))</f>
        <v/>
      </c>
      <c r="G62" s="15">
        <f>IF(OR(A62="",AND(B62="",C62="")),"",B62-C62)</f>
        <v/>
      </c>
      <c r="H62" s="5" t="n"/>
    </row>
    <row r="63">
      <c r="A63" s="9" t="n"/>
      <c r="B63" s="7" t="n"/>
      <c r="C63" s="7" t="n"/>
      <c r="D63" s="5" t="n"/>
      <c r="E63" s="11">
        <f>IF(OR(A63&lt;&gt;"",B63&gt;0,C63&gt;0),TODAY(),"")</f>
        <v/>
      </c>
      <c r="F63" s="12">
        <f>IF(A63="","",IFERROR(INDEX(OdamlarIsm,MATCH(A63,OdamlarKod,0)),"?"))</f>
        <v/>
      </c>
      <c r="G63" s="15">
        <f>IF(OR(A63="",AND(B63="",C63="")),"",B63-C63)</f>
        <v/>
      </c>
      <c r="H63" s="5" t="n"/>
    </row>
    <row r="64">
      <c r="A64" s="9" t="n"/>
      <c r="B64" s="7" t="n"/>
      <c r="C64" s="7" t="n"/>
      <c r="D64" s="5" t="n"/>
      <c r="E64" s="11">
        <f>IF(OR(A64&lt;&gt;"",B64&gt;0,C64&gt;0),TODAY(),"")</f>
        <v/>
      </c>
      <c r="F64" s="12">
        <f>IF(A64="","",IFERROR(INDEX(OdamlarIsm,MATCH(A64,OdamlarKod,0)),"?"))</f>
        <v/>
      </c>
      <c r="G64" s="15">
        <f>IF(OR(A64="",AND(B64="",C64="")),"",B64-C64)</f>
        <v/>
      </c>
      <c r="H64" s="5" t="n"/>
    </row>
    <row r="65">
      <c r="A65" s="9" t="n"/>
      <c r="B65" s="7" t="n"/>
      <c r="C65" s="7" t="n"/>
      <c r="D65" s="5" t="n"/>
      <c r="E65" s="11">
        <f>IF(OR(A65&lt;&gt;"",B65&gt;0,C65&gt;0),TODAY(),"")</f>
        <v/>
      </c>
      <c r="F65" s="12">
        <f>IF(A65="","",IFERROR(INDEX(OdamlarIsm,MATCH(A65,OdamlarKod,0)),"?"))</f>
        <v/>
      </c>
      <c r="G65" s="15">
        <f>IF(OR(A65="",AND(B65="",C65="")),"",B65-C65)</f>
        <v/>
      </c>
      <c r="H65" s="5" t="n"/>
    </row>
    <row r="66">
      <c r="A66" s="9" t="n"/>
      <c r="B66" s="7" t="n"/>
      <c r="C66" s="7" t="n"/>
      <c r="D66" s="5" t="n"/>
      <c r="E66" s="11">
        <f>IF(OR(A66&lt;&gt;"",B66&gt;0,C66&gt;0),TODAY(),"")</f>
        <v/>
      </c>
      <c r="F66" s="12">
        <f>IF(A66="","",IFERROR(INDEX(OdamlarIsm,MATCH(A66,OdamlarKod,0)),"?"))</f>
        <v/>
      </c>
      <c r="G66" s="15">
        <f>IF(OR(A66="",AND(B66="",C66="")),"",B66-C66)</f>
        <v/>
      </c>
      <c r="H66" s="5" t="n"/>
    </row>
    <row r="67">
      <c r="A67" s="9" t="n"/>
      <c r="B67" s="7" t="n"/>
      <c r="C67" s="7" t="n"/>
      <c r="D67" s="5" t="n"/>
      <c r="E67" s="11">
        <f>IF(OR(A67&lt;&gt;"",B67&gt;0,C67&gt;0),TODAY(),"")</f>
        <v/>
      </c>
      <c r="F67" s="12">
        <f>IF(A67="","",IFERROR(INDEX(OdamlarIsm,MATCH(A67,OdamlarKod,0)),"?"))</f>
        <v/>
      </c>
      <c r="G67" s="15">
        <f>IF(OR(A67="",AND(B67="",C67="")),"",B67-C67)</f>
        <v/>
      </c>
      <c r="H67" s="5" t="n"/>
    </row>
    <row r="68">
      <c r="A68" s="9" t="n"/>
      <c r="B68" s="7" t="n"/>
      <c r="C68" s="7" t="n"/>
      <c r="D68" s="5" t="n"/>
      <c r="E68" s="11">
        <f>IF(OR(A68&lt;&gt;"",B68&gt;0,C68&gt;0),TODAY(),"")</f>
        <v/>
      </c>
      <c r="F68" s="12">
        <f>IF(A68="","",IFERROR(INDEX(OdamlarIsm,MATCH(A68,OdamlarKod,0)),"?"))</f>
        <v/>
      </c>
      <c r="G68" s="15">
        <f>IF(OR(A68="",AND(B68="",C68="")),"",B68-C68)</f>
        <v/>
      </c>
      <c r="H68" s="5" t="n"/>
    </row>
    <row r="69">
      <c r="A69" s="9" t="n"/>
      <c r="B69" s="7" t="n"/>
      <c r="C69" s="7" t="n"/>
      <c r="D69" s="5" t="n"/>
      <c r="E69" s="11">
        <f>IF(OR(A69&lt;&gt;"",B69&gt;0,C69&gt;0),TODAY(),"")</f>
        <v/>
      </c>
      <c r="F69" s="12">
        <f>IF(A69="","",IFERROR(INDEX(OdamlarIsm,MATCH(A69,OdamlarKod,0)),"?"))</f>
        <v/>
      </c>
      <c r="G69" s="15">
        <f>IF(OR(A69="",AND(B69="",C69="")),"",B69-C69)</f>
        <v/>
      </c>
      <c r="H69" s="5" t="n"/>
    </row>
    <row r="70">
      <c r="A70" s="9" t="n"/>
      <c r="B70" s="7" t="n"/>
      <c r="C70" s="7" t="n"/>
      <c r="D70" s="5" t="n"/>
      <c r="E70" s="11">
        <f>IF(OR(A70&lt;&gt;"",B70&gt;0,C70&gt;0),TODAY(),"")</f>
        <v/>
      </c>
      <c r="F70" s="12">
        <f>IF(A70="","",IFERROR(INDEX(OdamlarIsm,MATCH(A70,OdamlarKod,0)),"?"))</f>
        <v/>
      </c>
      <c r="G70" s="15">
        <f>IF(OR(A70="",AND(B70="",C70="")),"",B70-C70)</f>
        <v/>
      </c>
      <c r="H70" s="5" t="n"/>
    </row>
    <row r="71">
      <c r="A71" s="9" t="n"/>
      <c r="B71" s="7" t="n"/>
      <c r="C71" s="7" t="n"/>
      <c r="D71" s="5" t="n"/>
      <c r="E71" s="11">
        <f>IF(OR(A71&lt;&gt;"",B71&gt;0,C71&gt;0),TODAY(),"")</f>
        <v/>
      </c>
      <c r="F71" s="12">
        <f>IF(A71="","",IFERROR(INDEX(OdamlarIsm,MATCH(A71,OdamlarKod,0)),"?"))</f>
        <v/>
      </c>
      <c r="G71" s="15">
        <f>IF(OR(A71="",AND(B71="",C71="")),"",B71-C71)</f>
        <v/>
      </c>
      <c r="H71" s="5" t="n"/>
    </row>
    <row r="72">
      <c r="A72" s="9" t="n"/>
      <c r="B72" s="7" t="n"/>
      <c r="C72" s="7" t="n"/>
      <c r="D72" s="5" t="n"/>
      <c r="E72" s="11">
        <f>IF(OR(A72&lt;&gt;"",B72&gt;0,C72&gt;0),TODAY(),"")</f>
        <v/>
      </c>
      <c r="F72" s="12">
        <f>IF(A72="","",IFERROR(INDEX(OdamlarIsm,MATCH(A72,OdamlarKod,0)),"?"))</f>
        <v/>
      </c>
      <c r="G72" s="15">
        <f>IF(OR(A72="",AND(B72="",C72="")),"",B72-C72)</f>
        <v/>
      </c>
      <c r="H72" s="5" t="n"/>
    </row>
    <row r="73">
      <c r="A73" s="9" t="n"/>
      <c r="B73" s="7" t="n"/>
      <c r="C73" s="7" t="n"/>
      <c r="D73" s="5" t="n"/>
      <c r="E73" s="11">
        <f>IF(OR(A73&lt;&gt;"",B73&gt;0,C73&gt;0),TODAY(),"")</f>
        <v/>
      </c>
      <c r="F73" s="12">
        <f>IF(A73="","",IFERROR(INDEX(OdamlarIsm,MATCH(A73,OdamlarKod,0)),"?"))</f>
        <v/>
      </c>
      <c r="G73" s="15">
        <f>IF(OR(A73="",AND(B73="",C73="")),"",B73-C73)</f>
        <v/>
      </c>
      <c r="H73" s="5" t="n"/>
    </row>
    <row r="74">
      <c r="A74" s="9" t="n"/>
      <c r="B74" s="7" t="n"/>
      <c r="C74" s="7" t="n"/>
      <c r="D74" s="5" t="n"/>
      <c r="E74" s="11">
        <f>IF(OR(A74&lt;&gt;"",B74&gt;0,C74&gt;0),TODAY(),"")</f>
        <v/>
      </c>
      <c r="F74" s="12">
        <f>IF(A74="","",IFERROR(INDEX(OdamlarIsm,MATCH(A74,OdamlarKod,0)),"?"))</f>
        <v/>
      </c>
      <c r="G74" s="15">
        <f>IF(OR(A74="",AND(B74="",C74="")),"",B74-C74)</f>
        <v/>
      </c>
      <c r="H74" s="5" t="n"/>
    </row>
    <row r="75">
      <c r="A75" s="9" t="n"/>
      <c r="B75" s="7" t="n"/>
      <c r="C75" s="7" t="n"/>
      <c r="D75" s="5" t="n"/>
      <c r="E75" s="11">
        <f>IF(OR(A75&lt;&gt;"",B75&gt;0,C75&gt;0),TODAY(),"")</f>
        <v/>
      </c>
      <c r="F75" s="12">
        <f>IF(A75="","",IFERROR(INDEX(OdamlarIsm,MATCH(A75,OdamlarKod,0)),"?"))</f>
        <v/>
      </c>
      <c r="G75" s="15">
        <f>IF(OR(A75="",AND(B75="",C75="")),"",B75-C75)</f>
        <v/>
      </c>
      <c r="H75" s="5" t="n"/>
    </row>
    <row r="76">
      <c r="A76" s="9" t="n"/>
      <c r="B76" s="7" t="n"/>
      <c r="C76" s="7" t="n"/>
      <c r="D76" s="5" t="n"/>
      <c r="E76" s="11">
        <f>IF(OR(A76&lt;&gt;"",B76&gt;0,C76&gt;0),TODAY(),"")</f>
        <v/>
      </c>
      <c r="F76" s="12">
        <f>IF(A76="","",IFERROR(INDEX(OdamlarIsm,MATCH(A76,OdamlarKod,0)),"?"))</f>
        <v/>
      </c>
      <c r="G76" s="15">
        <f>IF(OR(A76="",AND(B76="",C76="")),"",B76-C76)</f>
        <v/>
      </c>
      <c r="H76" s="5" t="n"/>
    </row>
    <row r="77">
      <c r="A77" s="9" t="n"/>
      <c r="B77" s="7" t="n"/>
      <c r="C77" s="7" t="n"/>
      <c r="D77" s="5" t="n"/>
      <c r="E77" s="11">
        <f>IF(OR(A77&lt;&gt;"",B77&gt;0,C77&gt;0),TODAY(),"")</f>
        <v/>
      </c>
      <c r="F77" s="12">
        <f>IF(A77="","",IFERROR(INDEX(OdamlarIsm,MATCH(A77,OdamlarKod,0)),"?"))</f>
        <v/>
      </c>
      <c r="G77" s="15">
        <f>IF(OR(A77="",AND(B77="",C77="")),"",B77-C77)</f>
        <v/>
      </c>
      <c r="H77" s="5" t="n"/>
    </row>
    <row r="78">
      <c r="A78" s="9" t="n"/>
      <c r="B78" s="7" t="n"/>
      <c r="C78" s="7" t="n"/>
      <c r="D78" s="5" t="n"/>
      <c r="E78" s="11">
        <f>IF(OR(A78&lt;&gt;"",B78&gt;0,C78&gt;0),TODAY(),"")</f>
        <v/>
      </c>
      <c r="F78" s="12">
        <f>IF(A78="","",IFERROR(INDEX(OdamlarIsm,MATCH(A78,OdamlarKod,0)),"?"))</f>
        <v/>
      </c>
      <c r="G78" s="15">
        <f>IF(OR(A78="",AND(B78="",C78="")),"",B78-C78)</f>
        <v/>
      </c>
      <c r="H78" s="5" t="n"/>
    </row>
    <row r="79">
      <c r="A79" s="9" t="n"/>
      <c r="B79" s="7" t="n"/>
      <c r="C79" s="7" t="n"/>
      <c r="D79" s="5" t="n"/>
      <c r="E79" s="11">
        <f>IF(OR(A79&lt;&gt;"",B79&gt;0,C79&gt;0),TODAY(),"")</f>
        <v/>
      </c>
      <c r="F79" s="12">
        <f>IF(A79="","",IFERROR(INDEX(OdamlarIsm,MATCH(A79,OdamlarKod,0)),"?"))</f>
        <v/>
      </c>
      <c r="G79" s="15">
        <f>IF(OR(A79="",AND(B79="",C79="")),"",B79-C79)</f>
        <v/>
      </c>
      <c r="H79" s="5" t="n"/>
    </row>
    <row r="80">
      <c r="A80" s="9" t="n"/>
      <c r="B80" s="7" t="n"/>
      <c r="C80" s="7" t="n"/>
      <c r="D80" s="5" t="n"/>
      <c r="E80" s="11">
        <f>IF(OR(A80&lt;&gt;"",B80&gt;0,C80&gt;0),TODAY(),"")</f>
        <v/>
      </c>
      <c r="F80" s="12">
        <f>IF(A80="","",IFERROR(INDEX(OdamlarIsm,MATCH(A80,OdamlarKod,0)),"?"))</f>
        <v/>
      </c>
      <c r="G80" s="15">
        <f>IF(OR(A80="",AND(B80="",C80="")),"",B80-C80)</f>
        <v/>
      </c>
      <c r="H80" s="5" t="n"/>
    </row>
    <row r="81">
      <c r="A81" s="9" t="n"/>
      <c r="B81" s="7" t="n"/>
      <c r="C81" s="7" t="n"/>
      <c r="D81" s="5" t="n"/>
      <c r="E81" s="11">
        <f>IF(OR(A81&lt;&gt;"",B81&gt;0,C81&gt;0),TODAY(),"")</f>
        <v/>
      </c>
      <c r="F81" s="12">
        <f>IF(A81="","",IFERROR(INDEX(OdamlarIsm,MATCH(A81,OdamlarKod,0)),"?"))</f>
        <v/>
      </c>
      <c r="G81" s="15">
        <f>IF(OR(A81="",AND(B81="",C81="")),"",B81-C81)</f>
        <v/>
      </c>
      <c r="H81" s="5" t="n"/>
    </row>
    <row r="82">
      <c r="A82" s="9" t="n"/>
      <c r="B82" s="7" t="n"/>
      <c r="C82" s="7" t="n"/>
      <c r="D82" s="5" t="n"/>
      <c r="E82" s="11">
        <f>IF(OR(A82&lt;&gt;"",B82&gt;0,C82&gt;0),TODAY(),"")</f>
        <v/>
      </c>
      <c r="F82" s="12">
        <f>IF(A82="","",IFERROR(INDEX(OdamlarIsm,MATCH(A82,OdamlarKod,0)),"?"))</f>
        <v/>
      </c>
      <c r="G82" s="15">
        <f>IF(OR(A82="",AND(B82="",C82="")),"",B82-C82)</f>
        <v/>
      </c>
      <c r="H82" s="5" t="n"/>
    </row>
    <row r="83">
      <c r="A83" s="9" t="n"/>
      <c r="B83" s="7" t="n"/>
      <c r="C83" s="7" t="n"/>
      <c r="D83" s="5" t="n"/>
      <c r="E83" s="11">
        <f>IF(OR(A83&lt;&gt;"",B83&gt;0,C83&gt;0),TODAY(),"")</f>
        <v/>
      </c>
      <c r="F83" s="12">
        <f>IF(A83="","",IFERROR(INDEX(OdamlarIsm,MATCH(A83,OdamlarKod,0)),"?"))</f>
        <v/>
      </c>
      <c r="G83" s="15">
        <f>IF(OR(A83="",AND(B83="",C83="")),"",B83-C83)</f>
        <v/>
      </c>
      <c r="H83" s="5" t="n"/>
    </row>
    <row r="84">
      <c r="A84" s="9" t="n"/>
      <c r="B84" s="7" t="n"/>
      <c r="C84" s="7" t="n"/>
      <c r="D84" s="5" t="n"/>
      <c r="E84" s="11">
        <f>IF(OR(A84&lt;&gt;"",B84&gt;0,C84&gt;0),TODAY(),"")</f>
        <v/>
      </c>
      <c r="F84" s="12">
        <f>IF(A84="","",IFERROR(INDEX(OdamlarIsm,MATCH(A84,OdamlarKod,0)),"?"))</f>
        <v/>
      </c>
      <c r="G84" s="15">
        <f>IF(OR(A84="",AND(B84="",C84="")),"",B84-C84)</f>
        <v/>
      </c>
      <c r="H84" s="5" t="n"/>
    </row>
    <row r="85">
      <c r="A85" s="9" t="n"/>
      <c r="B85" s="7" t="n"/>
      <c r="C85" s="7" t="n"/>
      <c r="D85" s="5" t="n"/>
      <c r="E85" s="11">
        <f>IF(OR(A85&lt;&gt;"",B85&gt;0,C85&gt;0),TODAY(),"")</f>
        <v/>
      </c>
      <c r="F85" s="12">
        <f>IF(A85="","",IFERROR(INDEX(OdamlarIsm,MATCH(A85,OdamlarKod,0)),"?"))</f>
        <v/>
      </c>
      <c r="G85" s="15">
        <f>IF(OR(A85="",AND(B85="",C85="")),"",B85-C85)</f>
        <v/>
      </c>
      <c r="H85" s="5" t="n"/>
    </row>
    <row r="86">
      <c r="A86" s="9" t="n"/>
      <c r="B86" s="7" t="n"/>
      <c r="C86" s="7" t="n"/>
      <c r="D86" s="5" t="n"/>
      <c r="E86" s="11">
        <f>IF(OR(A86&lt;&gt;"",B86&gt;0,C86&gt;0),TODAY(),"")</f>
        <v/>
      </c>
      <c r="F86" s="12">
        <f>IF(A86="","",IFERROR(INDEX(OdamlarIsm,MATCH(A86,OdamlarKod,0)),"?"))</f>
        <v/>
      </c>
      <c r="G86" s="15">
        <f>IF(OR(A86="",AND(B86="",C86="")),"",B86-C86)</f>
        <v/>
      </c>
      <c r="H86" s="5" t="n"/>
    </row>
    <row r="87">
      <c r="A87" s="9" t="n"/>
      <c r="B87" s="7" t="n"/>
      <c r="C87" s="7" t="n"/>
      <c r="D87" s="5" t="n"/>
      <c r="E87" s="11">
        <f>IF(OR(A87&lt;&gt;"",B87&gt;0,C87&gt;0),TODAY(),"")</f>
        <v/>
      </c>
      <c r="F87" s="12">
        <f>IF(A87="","",IFERROR(INDEX(OdamlarIsm,MATCH(A87,OdamlarKod,0)),"?"))</f>
        <v/>
      </c>
      <c r="G87" s="15">
        <f>IF(OR(A87="",AND(B87="",C87="")),"",B87-C87)</f>
        <v/>
      </c>
      <c r="H87" s="5" t="n"/>
    </row>
    <row r="88">
      <c r="A88" s="9" t="n"/>
      <c r="B88" s="7" t="n"/>
      <c r="C88" s="7" t="n"/>
      <c r="D88" s="5" t="n"/>
      <c r="E88" s="11">
        <f>IF(OR(A88&lt;&gt;"",B88&gt;0,C88&gt;0),TODAY(),"")</f>
        <v/>
      </c>
      <c r="F88" s="12">
        <f>IF(A88="","",IFERROR(INDEX(OdamlarIsm,MATCH(A88,OdamlarKod,0)),"?"))</f>
        <v/>
      </c>
      <c r="G88" s="15">
        <f>IF(OR(A88="",AND(B88="",C88="")),"",B88-C88)</f>
        <v/>
      </c>
      <c r="H88" s="5" t="n"/>
    </row>
    <row r="89">
      <c r="A89" s="9" t="n"/>
      <c r="B89" s="7" t="n"/>
      <c r="C89" s="7" t="n"/>
      <c r="D89" s="5" t="n"/>
      <c r="E89" s="11">
        <f>IF(OR(A89&lt;&gt;"",B89&gt;0,C89&gt;0),TODAY(),"")</f>
        <v/>
      </c>
      <c r="F89" s="12">
        <f>IF(A89="","",IFERROR(INDEX(OdamlarIsm,MATCH(A89,OdamlarKod,0)),"?"))</f>
        <v/>
      </c>
      <c r="G89" s="15">
        <f>IF(OR(A89="",AND(B89="",C89="")),"",B89-C89)</f>
        <v/>
      </c>
      <c r="H89" s="5" t="n"/>
    </row>
    <row r="90">
      <c r="A90" s="9" t="n"/>
      <c r="B90" s="7" t="n"/>
      <c r="C90" s="7" t="n"/>
      <c r="D90" s="5" t="n"/>
      <c r="E90" s="11">
        <f>IF(OR(A90&lt;&gt;"",B90&gt;0,C90&gt;0),TODAY(),"")</f>
        <v/>
      </c>
      <c r="F90" s="12">
        <f>IF(A90="","",IFERROR(INDEX(OdamlarIsm,MATCH(A90,OdamlarKod,0)),"?"))</f>
        <v/>
      </c>
      <c r="G90" s="15">
        <f>IF(OR(A90="",AND(B90="",C90="")),"",B90-C90)</f>
        <v/>
      </c>
      <c r="H90" s="5" t="n"/>
    </row>
    <row r="91">
      <c r="A91" s="9" t="n"/>
      <c r="B91" s="7" t="n"/>
      <c r="C91" s="7" t="n"/>
      <c r="D91" s="5" t="n"/>
      <c r="E91" s="11">
        <f>IF(OR(A91&lt;&gt;"",B91&gt;0,C91&gt;0),TODAY(),"")</f>
        <v/>
      </c>
      <c r="F91" s="12">
        <f>IF(A91="","",IFERROR(INDEX(OdamlarIsm,MATCH(A91,OdamlarKod,0)),"?"))</f>
        <v/>
      </c>
      <c r="G91" s="15">
        <f>IF(OR(A91="",AND(B91="",C91="")),"",B91-C91)</f>
        <v/>
      </c>
      <c r="H91" s="5" t="n"/>
    </row>
    <row r="92">
      <c r="A92" s="9" t="n"/>
      <c r="B92" s="7" t="n"/>
      <c r="C92" s="7" t="n"/>
      <c r="D92" s="5" t="n"/>
      <c r="E92" s="11">
        <f>IF(OR(A92&lt;&gt;"",B92&gt;0,C92&gt;0),TODAY(),"")</f>
        <v/>
      </c>
      <c r="F92" s="12">
        <f>IF(A92="","",IFERROR(INDEX(OdamlarIsm,MATCH(A92,OdamlarKod,0)),"?"))</f>
        <v/>
      </c>
      <c r="G92" s="15">
        <f>IF(OR(A92="",AND(B92="",C92="")),"",B92-C92)</f>
        <v/>
      </c>
      <c r="H92" s="5" t="n"/>
    </row>
    <row r="93">
      <c r="A93" s="9" t="n"/>
      <c r="B93" s="7" t="n"/>
      <c r="C93" s="7" t="n"/>
      <c r="D93" s="5" t="n"/>
      <c r="E93" s="11">
        <f>IF(OR(A93&lt;&gt;"",B93&gt;0,C93&gt;0),TODAY(),"")</f>
        <v/>
      </c>
      <c r="F93" s="12">
        <f>IF(A93="","",IFERROR(INDEX(OdamlarIsm,MATCH(A93,OdamlarKod,0)),"?"))</f>
        <v/>
      </c>
      <c r="G93" s="15">
        <f>IF(OR(A93="",AND(B93="",C93="")),"",B93-C93)</f>
        <v/>
      </c>
      <c r="H93" s="5" t="n"/>
    </row>
    <row r="94">
      <c r="A94" s="9" t="n"/>
      <c r="B94" s="7" t="n"/>
      <c r="C94" s="7" t="n"/>
      <c r="D94" s="5" t="n"/>
      <c r="E94" s="11">
        <f>IF(OR(A94&lt;&gt;"",B94&gt;0,C94&gt;0),TODAY(),"")</f>
        <v/>
      </c>
      <c r="F94" s="12">
        <f>IF(A94="","",IFERROR(INDEX(OdamlarIsm,MATCH(A94,OdamlarKod,0)),"?"))</f>
        <v/>
      </c>
      <c r="G94" s="15">
        <f>IF(OR(A94="",AND(B94="",C94="")),"",B94-C94)</f>
        <v/>
      </c>
      <c r="H94" s="5" t="n"/>
    </row>
    <row r="95">
      <c r="A95" s="9" t="n"/>
      <c r="B95" s="7" t="n"/>
      <c r="C95" s="7" t="n"/>
      <c r="D95" s="5" t="n"/>
      <c r="E95" s="11">
        <f>IF(OR(A95&lt;&gt;"",B95&gt;0,C95&gt;0),TODAY(),"")</f>
        <v/>
      </c>
      <c r="F95" s="12">
        <f>IF(A95="","",IFERROR(INDEX(OdamlarIsm,MATCH(A95,OdamlarKod,0)),"?"))</f>
        <v/>
      </c>
      <c r="G95" s="15">
        <f>IF(OR(A95="",AND(B95="",C95="")),"",B95-C95)</f>
        <v/>
      </c>
      <c r="H95" s="5" t="n"/>
    </row>
    <row r="96">
      <c r="A96" s="9" t="n"/>
      <c r="B96" s="7" t="n"/>
      <c r="C96" s="7" t="n"/>
      <c r="D96" s="5" t="n"/>
      <c r="E96" s="11">
        <f>IF(OR(A96&lt;&gt;"",B96&gt;0,C96&gt;0),TODAY(),"")</f>
        <v/>
      </c>
      <c r="F96" s="12">
        <f>IF(A96="","",IFERROR(INDEX(OdamlarIsm,MATCH(A96,OdamlarKod,0)),"?"))</f>
        <v/>
      </c>
      <c r="G96" s="15">
        <f>IF(OR(A96="",AND(B96="",C96="")),"",B96-C96)</f>
        <v/>
      </c>
      <c r="H96" s="5" t="n"/>
    </row>
    <row r="97">
      <c r="A97" s="9" t="n"/>
      <c r="B97" s="7" t="n"/>
      <c r="C97" s="7" t="n"/>
      <c r="D97" s="5" t="n"/>
      <c r="E97" s="11">
        <f>IF(OR(A97&lt;&gt;"",B97&gt;0,C97&gt;0),TODAY(),"")</f>
        <v/>
      </c>
      <c r="F97" s="12">
        <f>IF(A97="","",IFERROR(INDEX(OdamlarIsm,MATCH(A97,OdamlarKod,0)),"?"))</f>
        <v/>
      </c>
      <c r="G97" s="15">
        <f>IF(OR(A97="",AND(B97="",C97="")),"",B97-C97)</f>
        <v/>
      </c>
      <c r="H97" s="5" t="n"/>
    </row>
    <row r="98">
      <c r="A98" s="9" t="n"/>
      <c r="B98" s="7" t="n"/>
      <c r="C98" s="7" t="n"/>
      <c r="D98" s="5" t="n"/>
      <c r="E98" s="11">
        <f>IF(OR(A98&lt;&gt;"",B98&gt;0,C98&gt;0),TODAY(),"")</f>
        <v/>
      </c>
      <c r="F98" s="12">
        <f>IF(A98="","",IFERROR(INDEX(OdamlarIsm,MATCH(A98,OdamlarKod,0)),"?"))</f>
        <v/>
      </c>
      <c r="G98" s="15">
        <f>IF(OR(A98="",AND(B98="",C98="")),"",B98-C98)</f>
        <v/>
      </c>
      <c r="H98" s="5" t="n"/>
    </row>
    <row r="99">
      <c r="A99" s="9" t="n"/>
      <c r="B99" s="7" t="n"/>
      <c r="C99" s="7" t="n"/>
      <c r="D99" s="5" t="n"/>
      <c r="E99" s="11">
        <f>IF(OR(A99&lt;&gt;"",B99&gt;0,C99&gt;0),TODAY(),"")</f>
        <v/>
      </c>
      <c r="F99" s="12">
        <f>IF(A99="","",IFERROR(INDEX(OdamlarIsm,MATCH(A99,OdamlarKod,0)),"?"))</f>
        <v/>
      </c>
      <c r="G99" s="15">
        <f>IF(OR(A99="",AND(B99="",C99="")),"",B99-C99)</f>
        <v/>
      </c>
      <c r="H99" s="5" t="n"/>
    </row>
    <row r="100">
      <c r="A100" s="9" t="n"/>
      <c r="B100" s="7" t="n"/>
      <c r="C100" s="7" t="n"/>
      <c r="D100" s="5" t="n"/>
      <c r="E100" s="11">
        <f>IF(OR(A100&lt;&gt;"",B100&gt;0,C100&gt;0),TODAY(),"")</f>
        <v/>
      </c>
      <c r="F100" s="12">
        <f>IF(A100="","",IFERROR(INDEX(OdamlarIsm,MATCH(A100,OdamlarKod,0)),"?"))</f>
        <v/>
      </c>
      <c r="G100" s="15">
        <f>IF(OR(A100="",AND(B100="",C100="")),"",B100-C100)</f>
        <v/>
      </c>
      <c r="H100" s="5" t="n"/>
    </row>
    <row r="101">
      <c r="A101" s="9" t="n"/>
      <c r="B101" s="7" t="n"/>
      <c r="C101" s="7" t="n"/>
      <c r="D101" s="5" t="n"/>
      <c r="E101" s="11">
        <f>IF(OR(A101&lt;&gt;"",B101&gt;0,C101&gt;0),TODAY(),"")</f>
        <v/>
      </c>
      <c r="F101" s="12">
        <f>IF(A101="","",IFERROR(INDEX(OdamlarIsm,MATCH(A101,OdamlarKod,0)),"?"))</f>
        <v/>
      </c>
      <c r="G101" s="15">
        <f>IF(OR(A101="",AND(B101="",C101="")),"",B101-C101)</f>
        <v/>
      </c>
      <c r="H101" s="5" t="n"/>
    </row>
    <row r="102">
      <c r="A102" s="9" t="n"/>
      <c r="B102" s="7" t="n"/>
      <c r="C102" s="7" t="n"/>
      <c r="D102" s="5" t="n"/>
      <c r="E102" s="11">
        <f>IF(OR(A102&lt;&gt;"",B102&gt;0,C102&gt;0),TODAY(),"")</f>
        <v/>
      </c>
      <c r="F102" s="12">
        <f>IF(A102="","",IFERROR(INDEX(OdamlarIsm,MATCH(A102,OdamlarKod,0)),"?"))</f>
        <v/>
      </c>
      <c r="G102" s="15">
        <f>IF(OR(A102="",AND(B102="",C102="")),"",B102-C102)</f>
        <v/>
      </c>
      <c r="H102" s="5" t="n"/>
    </row>
    <row r="103">
      <c r="A103" s="9" t="n"/>
      <c r="B103" s="7" t="n"/>
      <c r="C103" s="7" t="n"/>
      <c r="D103" s="5" t="n"/>
      <c r="E103" s="11">
        <f>IF(OR(A103&lt;&gt;"",B103&gt;0,C103&gt;0),TODAY(),"")</f>
        <v/>
      </c>
      <c r="F103" s="12">
        <f>IF(A103="","",IFERROR(INDEX(OdamlarIsm,MATCH(A103,OdamlarKod,0)),"?"))</f>
        <v/>
      </c>
      <c r="G103" s="15">
        <f>IF(OR(A103="",AND(B103="",C103="")),"",B103-C103)</f>
        <v/>
      </c>
      <c r="H103" s="5" t="n"/>
    </row>
    <row r="104">
      <c r="A104" s="9" t="n"/>
      <c r="B104" s="7" t="n"/>
      <c r="C104" s="7" t="n"/>
      <c r="D104" s="5" t="n"/>
      <c r="E104" s="11">
        <f>IF(OR(A104&lt;&gt;"",B104&gt;0,C104&gt;0),TODAY(),"")</f>
        <v/>
      </c>
      <c r="F104" s="12">
        <f>IF(A104="","",IFERROR(INDEX(OdamlarIsm,MATCH(A104,OdamlarKod,0)),"?"))</f>
        <v/>
      </c>
      <c r="G104" s="15">
        <f>IF(OR(A104="",AND(B104="",C104="")),"",B104-C104)</f>
        <v/>
      </c>
      <c r="H104" s="5" t="n"/>
    </row>
    <row r="107">
      <c r="A107" s="8" t="inlineStr">
        <is>
          <t>Odamlar balansi</t>
        </is>
      </c>
    </row>
    <row r="108" ht="32" customHeight="1">
      <c r="A108" s="3" t="inlineStr">
        <is>
          <t>Kod</t>
        </is>
      </c>
      <c r="B108" s="3" t="inlineStr">
        <is>
          <t>Ism</t>
        </is>
      </c>
      <c r="C108" s="3" t="inlineStr">
        <is>
          <t>Balans</t>
        </is>
      </c>
      <c r="D108" s="3" t="inlineStr">
        <is>
          <t>Ma'nosi</t>
        </is>
      </c>
    </row>
    <row r="109">
      <c r="A109" s="9" t="inlineStr">
        <is>
          <t>SH</t>
        </is>
      </c>
      <c r="B109" s="12">
        <f>IF(A109="","",IFERROR(INDEX(OdamlarIsm,MATCH(A109,OdamlarKod,0)),"?"))</f>
        <v/>
      </c>
      <c r="C109" s="15">
        <f>SUMIFS(tblOldiBerdi[Qator_balans],tblOldiBerdi[Kod],A109)</f>
        <v/>
      </c>
      <c r="D109" s="12">
        <f>IF(C109&gt;0,"Bizga qarz (+"&amp;TEXT(C109,"#,##0")&amp;")",IF(C109&lt;0,"Bizdan qarz ("&amp;TEXT(C109,"#,##0")&amp;")","Hisob yo'q"))</f>
        <v/>
      </c>
    </row>
    <row r="110">
      <c r="A110" s="9" t="inlineStr">
        <is>
          <t>JA</t>
        </is>
      </c>
      <c r="B110" s="12">
        <f>IF(A110="","",IFERROR(INDEX(OdamlarIsm,MATCH(A110,OdamlarKod,0)),"?"))</f>
        <v/>
      </c>
      <c r="C110" s="15">
        <f>SUMIFS(tblOldiBerdi[Qator_balans],tblOldiBerdi[Kod],A110)</f>
        <v/>
      </c>
      <c r="D110" s="12">
        <f>IF(C110&gt;0,"Bizga qarz (+"&amp;TEXT(C110,"#,##0")&amp;")",IF(C110&lt;0,"Bizdan qarz ("&amp;TEXT(C110,"#,##0")&amp;")","Hisob yo'q"))</f>
        <v/>
      </c>
    </row>
    <row r="111">
      <c r="A111" s="9" t="inlineStr">
        <is>
          <t>SI</t>
        </is>
      </c>
      <c r="B111" s="12">
        <f>IF(A111="","",IFERROR(INDEX(OdamlarIsm,MATCH(A111,OdamlarKod,0)),"?"))</f>
        <v/>
      </c>
      <c r="C111" s="15">
        <f>SUMIFS(tblOldiBerdi[Qator_balans],tblOldiBerdi[Kod],A111)</f>
        <v/>
      </c>
      <c r="D111" s="12">
        <f>IF(C111&gt;0,"Bizga qarz (+"&amp;TEXT(C111,"#,##0")&amp;")",IF(C111&lt;0,"Bizdan qarz ("&amp;TEXT(C111,"#,##0")&amp;")","Hisob yo'q"))</f>
        <v/>
      </c>
    </row>
    <row r="112">
      <c r="A112" s="16" t="inlineStr">
        <is>
          <t>JAMI (sof)</t>
        </is>
      </c>
      <c r="C112" s="17">
        <f>SUM(C109:C111)</f>
        <v/>
      </c>
    </row>
    <row r="114">
      <c r="A114" s="16" t="inlineStr">
        <is>
          <t>Odamlardan qarz (bizga)</t>
        </is>
      </c>
      <c r="C114" s="18">
        <f>SUMIF(C109:C111,"&gt;0")</f>
        <v/>
      </c>
    </row>
    <row r="115">
      <c r="A115" s="16" t="inlineStr">
        <is>
          <t>Odamlarga qarz (bizdan)</t>
        </is>
      </c>
      <c r="C115" s="18">
        <f>-SUMIF(C109:C111,"&lt;0")</f>
        <v/>
      </c>
    </row>
  </sheetData>
  <mergeCells count="3">
    <mergeCell ref="A107:D107"/>
    <mergeCell ref="A2:H2"/>
    <mergeCell ref="A1:H1"/>
  </mergeCells>
  <pageMargins left="0.5" right="0.5" top="0.6" bottom="0.6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</cols>
  <sheetData>
    <row r="1" ht="28" customHeight="1">
      <c r="A1" s="1" t="inlineStr">
        <is>
          <t>Hisob balans</t>
        </is>
      </c>
    </row>
    <row r="2" ht="36" customHeight="1">
      <c r="A2" s="2" t="inlineStr">
        <is>
          <t>Jami kirim-chiqim va qarzlar. Barcha raqamlar boshqa varag'lardan avtomatik.</t>
        </is>
      </c>
    </row>
    <row r="4" ht="32" customHeight="1">
      <c r="A4" s="3" t="inlineStr">
        <is>
          <t>Ko'rsatkich</t>
        </is>
      </c>
      <c r="B4" s="3" t="inlineStr">
        <is>
          <t>Summa (so'm)</t>
        </is>
      </c>
      <c r="C4" s="3" t="inlineStr">
        <is>
          <t>Manba</t>
        </is>
      </c>
    </row>
    <row r="5" ht="22" customHeight="1">
      <c r="A5" s="19" t="inlineStr">
        <is>
          <t>Boshlang'ich kassa</t>
        </is>
      </c>
      <c r="B5" s="20">
        <f>StartCash</f>
        <v/>
      </c>
      <c r="C5" s="6" t="inlineStr">
        <is>
          <t>Parametrlar</t>
        </is>
      </c>
    </row>
    <row r="6" ht="22" customHeight="1">
      <c r="A6" s="19" t="inlineStr">
        <is>
          <t>Jami kirdi</t>
        </is>
      </c>
      <c r="B6" s="20">
        <f>SUM(tblKunlikKassa[Kirdi])</f>
        <v/>
      </c>
      <c r="C6" s="6" t="inlineStr">
        <is>
          <t>Kunlik kassa</t>
        </is>
      </c>
    </row>
    <row r="7" ht="22" customHeight="1">
      <c r="A7" s="19" t="inlineStr">
        <is>
          <t>Jami xarajat</t>
        </is>
      </c>
      <c r="B7" s="20">
        <f>SUM(tblXarajatlar[Summa])</f>
        <v/>
      </c>
      <c r="C7" s="6" t="inlineStr">
        <is>
          <t>Xarajatlar</t>
        </is>
      </c>
    </row>
    <row r="8" ht="22" customHeight="1">
      <c r="A8" s="19" t="inlineStr">
        <is>
          <t>Jami tavarga pul</t>
        </is>
      </c>
      <c r="B8" s="20">
        <f>SUM(tblTovargaPul[Summa])</f>
        <v/>
      </c>
      <c r="C8" s="6" t="inlineStr">
        <is>
          <t>Tovarga pul</t>
        </is>
      </c>
    </row>
    <row r="9" ht="22" customHeight="1">
      <c r="A9" s="19" t="inlineStr">
        <is>
          <t>Jami boshqa chiqim</t>
        </is>
      </c>
      <c r="B9" s="20">
        <f>SUM(tblKunlikKassa[Boshqa_chiqim])</f>
        <v/>
      </c>
      <c r="C9" s="6" t="inlineStr">
        <is>
          <t>Kunlik kassa</t>
        </is>
      </c>
    </row>
    <row r="10" ht="22" customHeight="1">
      <c r="A10" s="19" t="inlineStr">
        <is>
          <t>Jami chiqim</t>
        </is>
      </c>
      <c r="B10" s="20">
        <f>B7+B8+B9</f>
        <v/>
      </c>
      <c r="C10" s="6" t="inlineStr">
        <is>
          <t>3 chiqim turi</t>
        </is>
      </c>
    </row>
    <row r="11" ht="8" customHeight="1"/>
    <row r="12" ht="22" customHeight="1">
      <c r="A12" s="21" t="inlineStr">
        <is>
          <t>Joriy kassa balans</t>
        </is>
      </c>
      <c r="B12" s="22">
        <f>B5+B6-B10</f>
        <v/>
      </c>
      <c r="C12" s="6" t="inlineStr">
        <is>
          <t>Boshlang'ich + kirdi − chiqim</t>
        </is>
      </c>
    </row>
    <row r="13" ht="22" customHeight="1">
      <c r="A13" s="19" t="inlineStr">
        <is>
          <t>Oxirgi kun qoldiq</t>
        </is>
      </c>
      <c r="B13" s="20">
        <f>B12</f>
        <v/>
      </c>
      <c r="C13" s="6" t="inlineStr">
        <is>
          <t>Joriy kassa bilan bir xil</t>
        </is>
      </c>
    </row>
    <row r="14" ht="8" customHeight="1"/>
    <row r="15" ht="22" customHeight="1">
      <c r="A15" s="19" t="inlineStr">
        <is>
          <t>Odamlardan qarz (bizga)</t>
        </is>
      </c>
      <c r="B15" s="20">
        <f>'Oldi-berdi'!$C$114</f>
        <v/>
      </c>
      <c r="C15" s="6" t="inlineStr">
        <is>
          <t>SH 200k + SI 50k = 250k</t>
        </is>
      </c>
    </row>
    <row r="16" ht="22" customHeight="1">
      <c r="A16" s="19" t="inlineStr">
        <is>
          <t>Odamlarga qarz (bizdan)</t>
        </is>
      </c>
      <c r="B16" s="20">
        <f>'Oldi-berdi'!$C$115</f>
        <v/>
      </c>
      <c r="C16" s="6" t="inlineStr">
        <is>
          <t>JA 150k</t>
        </is>
      </c>
    </row>
    <row r="17" ht="22" customHeight="1">
      <c r="A17" s="21" t="inlineStr">
        <is>
          <t>Umumiy moliyaviy holat</t>
        </is>
      </c>
      <c r="B17" s="22">
        <f>B12+B15-B16</f>
        <v/>
      </c>
      <c r="C17" s="6" t="inlineStr">
        <is>
          <t>Kassa + bizga − bizdan</t>
        </is>
      </c>
    </row>
    <row r="19">
      <c r="A19" s="8" t="inlineStr">
        <is>
          <t>Namuna tekshiruv</t>
        </is>
      </c>
    </row>
    <row r="20">
      <c r="A20" s="23" t="inlineStr">
        <is>
          <t>Kutilgan: kassa 2 885 000 | bizga 250 000 | bizdan 150 000 | umumiy 2 985 000. 750 000 — bu kassa qoldiq emas (qarang Parametrlar eslatmasi).</t>
        </is>
      </c>
    </row>
    <row r="21"/>
  </sheetData>
  <mergeCells count="3">
    <mergeCell ref="A1:C1"/>
    <mergeCell ref="A2:C2"/>
    <mergeCell ref="A20:C21"/>
  </mergeCells>
  <pageMargins left="0.5" right="0.5" top="0.6" bottom="0.6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8" customHeight="1">
      <c r="A1" s="1" t="inlineStr">
        <is>
          <t>Oylik xulosa</t>
        </is>
      </c>
    </row>
    <row r="2" ht="36" customHeight="1">
      <c r="A2" s="2" t="inlineStr">
        <is>
          <t>Parametrlardagi oy/yil bo'yicha SUMIFS. Sariq kodlar — filtrlash uchun.</t>
        </is>
      </c>
    </row>
    <row r="4">
      <c r="A4" s="16" t="inlineStr">
        <is>
          <t>Tanlangan davr</t>
        </is>
      </c>
      <c r="B4" s="24">
        <f>ReportMonth&amp;"/"&amp;ReportYear</f>
        <v/>
      </c>
    </row>
    <row r="6" ht="32" customHeight="1">
      <c r="A6" s="3" t="inlineStr">
        <is>
          <t>Ko'rsatkich</t>
        </is>
      </c>
      <c r="B6" s="3" t="inlineStr">
        <is>
          <t>Summa (so'm)</t>
        </is>
      </c>
    </row>
    <row r="7">
      <c r="A7" s="4" t="inlineStr">
        <is>
          <t>Jami kirdi</t>
        </is>
      </c>
      <c r="B7" s="25">
        <f>SUMIFS(tblKunlikKassa[Kirdi],tblKunlikKassa[Sana],"&gt;="&amp;DATE(ReportYear,ReportMonth,1),tblKunlikKassa[Sana],"&lt;"&amp;DATE(ReportYear,ReportMonth+1,1))</f>
        <v/>
      </c>
    </row>
    <row r="8">
      <c r="A8" s="4" t="inlineStr">
        <is>
          <t>Jami xarajat</t>
        </is>
      </c>
      <c r="B8" s="25">
        <f>SUMIFS(tblXarajatlar[Summa],tblXarajatlar[Sana],"&gt;="&amp;DATE(ReportYear,ReportMonth,1),tblXarajatlar[Sana],"&lt;"&amp;DATE(ReportYear,ReportMonth+1,1))</f>
        <v/>
      </c>
    </row>
    <row r="9">
      <c r="A9" s="4" t="inlineStr">
        <is>
          <t>Jami tavarga pul</t>
        </is>
      </c>
      <c r="B9" s="25">
        <f>SUMIFS(tblTovargaPul[Summa],tblTovargaPul[Sana],"&gt;="&amp;DATE(ReportYear,ReportMonth,1),tblTovargaPul[Sana],"&lt;"&amp;DATE(ReportYear,ReportMonth+1,1))</f>
        <v/>
      </c>
    </row>
    <row r="10">
      <c r="A10" s="4" t="inlineStr">
        <is>
          <t>Jami boshqa chiqim</t>
        </is>
      </c>
      <c r="B10" s="25">
        <f>SUMIFS(tblKunlikKassa[Boshqa_chiqim],tblKunlikKassa[Sana],"&gt;="&amp;DATE(ReportYear,ReportMonth,1),tblKunlikKassa[Sana],"&lt;"&amp;DATE(ReportYear,ReportMonth+1,1))</f>
        <v/>
      </c>
    </row>
    <row r="11">
      <c r="A11" s="4" t="inlineStr">
        <is>
          <t>Jami chiqim</t>
        </is>
      </c>
      <c r="B11" s="25">
        <f>B8+B9+B10</f>
        <v/>
      </c>
    </row>
    <row r="12">
      <c r="A12" s="26" t="inlineStr">
        <is>
          <t>Foyda (kirdi − chiqim)</t>
        </is>
      </c>
      <c r="B12" s="27">
        <f>B7-B11</f>
        <v/>
      </c>
    </row>
    <row r="14">
      <c r="A14" s="26" t="inlineStr">
        <is>
          <t>Oy oxiridagi kassa qoldiq</t>
        </is>
      </c>
      <c r="B14" s="27">
        <f>StartCash+B7-B11</f>
        <v/>
      </c>
    </row>
    <row r="15">
      <c r="A15" s="4" t="inlineStr">
        <is>
          <t>Odamlardan qarz (bizga)</t>
        </is>
      </c>
      <c r="B15" s="25">
        <f>'Oldi-berdi'!$C$114</f>
        <v/>
      </c>
    </row>
    <row r="16">
      <c r="A16" s="4" t="inlineStr">
        <is>
          <t>Odamlarga qarz (bizdan)</t>
        </is>
      </c>
      <c r="B16" s="25">
        <f>'Oldi-berdi'!$C$115</f>
        <v/>
      </c>
    </row>
    <row r="18">
      <c r="A18" s="8" t="inlineStr">
        <is>
          <t>Xarajat turlari (oylik)</t>
        </is>
      </c>
    </row>
    <row r="19" ht="32" customHeight="1">
      <c r="A19" s="3" t="inlineStr">
        <is>
          <t>Kod</t>
        </is>
      </c>
      <c r="B19" s="3" t="inlineStr">
        <is>
          <t>Tur</t>
        </is>
      </c>
      <c r="C19" s="3" t="inlineStr">
        <is>
          <t>Summa</t>
        </is>
      </c>
    </row>
    <row r="20">
      <c r="A20" s="9" t="inlineStr">
        <is>
          <t>SV</t>
        </is>
      </c>
      <c r="B20" s="12">
        <f>IF(A20="","",IFERROR(INDEX(XarajatNomi,MATCH(A20,XarajatKod,0)),"?"))</f>
        <v/>
      </c>
      <c r="C20" s="15">
        <f>SUMIFS(tblXarajatlar[Summa],tblXarajatlar[Kod],A20,tblXarajatlar[Sana],"&gt;="&amp;DATE(ReportYear,ReportMonth,1),tblXarajatlar[Sana],"&lt;"&amp;DATE(ReportYear,ReportMonth+1,1))</f>
        <v/>
      </c>
    </row>
    <row r="21">
      <c r="A21" s="9" t="inlineStr">
        <is>
          <t>AB</t>
        </is>
      </c>
      <c r="B21" s="12">
        <f>IF(A21="","",IFERROR(INDEX(XarajatNomi,MATCH(A21,XarajatKod,0)),"?"))</f>
        <v/>
      </c>
      <c r="C21" s="15">
        <f>SUMIFS(tblXarajatlar[Summa],tblXarajatlar[Kod],A21,tblXarajatlar[Sana],"&gt;="&amp;DATE(ReportYear,ReportMonth,1),tblXarajatlar[Sana],"&lt;"&amp;DATE(ReportYear,ReportMonth+1,1))</f>
        <v/>
      </c>
    </row>
    <row r="22">
      <c r="A22" s="9" t="inlineStr">
        <is>
          <t>IJ</t>
        </is>
      </c>
      <c r="B22" s="12">
        <f>IF(A22="","",IFERROR(INDEX(XarajatNomi,MATCH(A22,XarajatKod,0)),"?"))</f>
        <v/>
      </c>
      <c r="C22" s="15">
        <f>SUMIFS(tblXarajatlar[Summa],tblXarajatlar[Kod],A22,tblXarajatlar[Sana],"&gt;="&amp;DATE(ReportYear,ReportMonth,1),tblXarajatlar[Sana],"&lt;"&amp;DATE(ReportYear,ReportMonth+1,1))</f>
        <v/>
      </c>
    </row>
    <row r="23">
      <c r="A23" s="9" t="inlineStr">
        <is>
          <t>MS</t>
        </is>
      </c>
      <c r="B23" s="12">
        <f>IF(A23="","",IFERROR(INDEX(XarajatNomi,MATCH(A23,XarajatKod,0)),"?"))</f>
        <v/>
      </c>
      <c r="C23" s="15">
        <f>SUMIFS(tblXarajatlar[Summa],tblXarajatlar[Kod],A23,tblXarajatlar[Sana],"&gt;="&amp;DATE(ReportYear,ReportMonth,1),tblXarajatlar[Sana],"&lt;"&amp;DATE(ReportYear,ReportMonth+1,1))</f>
        <v/>
      </c>
    </row>
    <row r="24">
      <c r="A24" s="9" t="inlineStr">
        <is>
          <t>TR</t>
        </is>
      </c>
      <c r="B24" s="12">
        <f>IF(A24="","",IFERROR(INDEX(XarajatNomi,MATCH(A24,XarajatKod,0)),"?"))</f>
        <v/>
      </c>
      <c r="C24" s="15">
        <f>SUMIFS(tblXarajatlar[Summa],tblXarajatlar[Kod],A24,tblXarajatlar[Sana],"&gt;="&amp;DATE(ReportYear,ReportMonth,1),tblXarajatlar[Sana],"&lt;"&amp;DATE(ReportYear,ReportMonth+1,1))</f>
        <v/>
      </c>
    </row>
    <row r="25">
      <c r="A25" s="9" t="inlineStr">
        <is>
          <t>BOSHQA</t>
        </is>
      </c>
      <c r="B25" s="12">
        <f>IF(A25="","",IFERROR(INDEX(XarajatNomi,MATCH(A25,XarajatKod,0)),"?"))</f>
        <v/>
      </c>
      <c r="C25" s="15">
        <f>SUMIFS(tblXarajatlar[Summa],tblXarajatlar[Kod],A25,tblXarajatlar[Sana],"&gt;="&amp;DATE(ReportYear,ReportMonth,1),tblXarajatlar[Sana],"&lt;"&amp;DATE(ReportYear,ReportMonth+1,1))</f>
        <v/>
      </c>
    </row>
    <row r="28">
      <c r="A28" s="8" t="inlineStr">
        <is>
          <t>Yetkazuvchilar (oylik)</t>
        </is>
      </c>
    </row>
    <row r="29" ht="32" customHeight="1">
      <c r="A29" s="3" t="inlineStr">
        <is>
          <t>Kod</t>
        </is>
      </c>
      <c r="B29" s="3" t="inlineStr">
        <is>
          <t>Yetkazuvchi</t>
        </is>
      </c>
      <c r="C29" s="3" t="inlineStr">
        <is>
          <t>Summa</t>
        </is>
      </c>
    </row>
    <row r="30">
      <c r="A30" s="9" t="inlineStr">
        <is>
          <t>JA</t>
        </is>
      </c>
      <c r="B30" s="12">
        <f>IF(A30="","",IFERROR(INDEX(YetkazuvchiIsm,MATCH(A30,YetkazuvchiKod,0)),"?"))</f>
        <v/>
      </c>
      <c r="C30" s="15">
        <f>SUMIFS(tblTovargaPul[Summa],tblTovargaPul[Kod],A30,tblTovargaPul[Sana],"&gt;="&amp;DATE(ReportYear,ReportMonth,1),tblTovargaPul[Sana],"&lt;"&amp;DATE(ReportYear,ReportMonth+1,1))</f>
        <v/>
      </c>
    </row>
    <row r="31">
      <c r="A31" s="9" t="inlineStr">
        <is>
          <t>SH</t>
        </is>
      </c>
      <c r="B31" s="12">
        <f>IF(A31="","",IFERROR(INDEX(YetkazuvchiIsm,MATCH(A31,YetkazuvchiKod,0)),"?"))</f>
        <v/>
      </c>
      <c r="C31" s="15">
        <f>SUMIFS(tblTovargaPul[Summa],tblTovargaPul[Kod],A31,tblTovargaPul[Sana],"&gt;="&amp;DATE(ReportYear,ReportMonth,1),tblTovargaPul[Sana],"&lt;"&amp;DATE(ReportYear,ReportMonth+1,1))</f>
        <v/>
      </c>
    </row>
    <row r="32">
      <c r="A32" s="9" t="inlineStr">
        <is>
          <t>BAZAR</t>
        </is>
      </c>
      <c r="B32" s="12">
        <f>IF(A32="","",IFERROR(INDEX(YetkazuvchiIsm,MATCH(A32,YetkazuvchiKod,0)),"?"))</f>
        <v/>
      </c>
      <c r="C32" s="15">
        <f>SUMIFS(tblTovargaPul[Summa],tblTovargaPul[Kod],A32,tblTovargaPul[Sana],"&gt;="&amp;DATE(ReportYear,ReportMonth,1),tblTovargaPul[Sana],"&lt;"&amp;DATE(ReportYear,ReportMonth+1,1))</f>
        <v/>
      </c>
    </row>
    <row r="33">
      <c r="A33" s="9" t="inlineStr">
        <is>
          <t>OPT</t>
        </is>
      </c>
      <c r="B33" s="12">
        <f>IF(A33="","",IFERROR(INDEX(YetkazuvchiIsm,MATCH(A33,YetkazuvchiKod,0)),"?"))</f>
        <v/>
      </c>
      <c r="C33" s="15">
        <f>SUMIFS(tblTovargaPul[Summa],tblTovargaPul[Kod],A33,tblTovargaPul[Sana],"&gt;="&amp;DATE(ReportYear,ReportMonth,1),tblTovargaPul[Sana],"&lt;"&amp;DATE(ReportYear,ReportMonth+1,1))</f>
        <v/>
      </c>
    </row>
    <row r="36">
      <c r="A36" s="8" t="inlineStr">
        <is>
          <t>Namuna (avgust 2026)</t>
        </is>
      </c>
    </row>
    <row r="37">
      <c r="A37" s="10" t="inlineStr">
        <is>
          <t>Kirdi 3 680 000 | xarajat 580 000 | tovar 650 000 | boshqa 65 000 | chiqim 1 295 000 | foyda 2 385 000 | oy oxiri kassa 2 885 000 (= 500 000 + 3 680 000 − 1 295 000). Eski 750 000: 3-avgust chiqim=farq yoki 500k+250k qarz — kassa qoldiq emas.</t>
        </is>
      </c>
    </row>
    <row r="38"/>
    <row r="39"/>
  </sheetData>
  <mergeCells count="3">
    <mergeCell ref="A1:C1"/>
    <mergeCell ref="A37:C39"/>
    <mergeCell ref="A2:C2"/>
  </mergeCells>
  <pageMargins left="0.5" right="0.5" top="0.6" bottom="0.6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2026-08-23T17:46:19Z</dcterms:created>
  <dcterms:modified xmlns:dcterms="http://purl.org/dc/terms/" xmlns:xsi="http://www.w3.org/2001/XMLSchema-instance" xsi:type="dcterms:W3CDTF">2026-08-23T17:46:19Z</dcterms:modified>
</cp:coreProperties>
</file>