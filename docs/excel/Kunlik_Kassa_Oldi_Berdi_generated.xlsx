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lar" sheetId="1" state="visible" r:id="rId1"/>
    <sheet xmlns:r="http://schemas.openxmlformats.org/officeDocument/2006/relationships" name="Xarajatlar" sheetId="2" state="visible" r:id="rId2"/>
    <sheet xmlns:r="http://schemas.openxmlformats.org/officeDocument/2006/relationships" name="Tovarga pul" sheetId="3" state="visible" r:id="rId3"/>
    <sheet xmlns:r="http://schemas.openxmlformats.org/officeDocument/2006/relationships" name="Kunlik kassa" sheetId="4" state="visible" r:id="rId4"/>
    <sheet xmlns:r="http://schemas.openxmlformats.org/officeDocument/2006/relationships" name="Oldi-berdi" sheetId="5" state="visible" r:id="rId5"/>
    <sheet xmlns:r="http://schemas.openxmlformats.org/officeDocument/2006/relationships" name="Hisob balans" sheetId="6" state="visible" r:id="rId6"/>
    <sheet xmlns:r="http://schemas.openxmlformats.org/officeDocument/2006/relationships" name="Oylik xulosa" sheetId="7" state="visible" r:id="rId7"/>
  </sheets>
  <definedNames>
    <definedName name="StoreName">Parametrlar!$B$5</definedName>
    <definedName name="StartCash">Parametrlar!$B$6</definedName>
    <definedName name="ReportMonth">Parametrlar!$B$7</definedName>
    <definedName name="ReportYear">Parametrlar!$B$8</definedName>
    <definedName name="PeopleReceivable">Oldi-berdi!$C$114</definedName>
    <definedName name="PeoplePayable">Oldi-berdi!$C$115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color rgb="00566573"/>
      <sz val="11"/>
    </font>
    <font>
      <name val="Calibri"/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4" fillId="0" borderId="0" pivotButton="0" quotePrefix="0" xfId="0"/>
    <xf numFmtId="165" fontId="0" fillId="4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0" borderId="2" pivotButton="0" quotePrefix="0" xfId="0"/>
    <xf numFmtId="0" fontId="4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damlar" displayName="tblOdamlar" ref="A11:C21" headerRowCount="1">
  <autoFilter ref="A11:C21"/>
  <tableColumns count="3">
    <tableColumn id="1" name="Kod"/>
    <tableColumn id="2" name="Ism"/>
    <tableColumn id="3" name="Izo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XarajatTurlari" displayName="tblXarajatTurlari" ref="A25:B35" headerRowCount="1">
  <autoFilter ref="A25:B35"/>
  <tableColumns count="2">
    <tableColumn id="1" name="Kod"/>
    <tableColumn id="2" name="Nomi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Yetkazuvchilar" displayName="tblYetkazuvchilar" ref="A39:B49" headerRowCount="1">
  <autoFilter ref="A39:B49"/>
  <tableColumns count="2">
    <tableColumn id="1" name="Kod"/>
    <tableColumn id="2" name="Ism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Xarajatlar" displayName="tblXarajatlar" ref="A4:E104" headerRowCount="1">
  <autoFilter ref="A4:E104"/>
  <tableColumns count="5">
    <tableColumn id="1" name="Sana"/>
    <tableColumn id="2" name="Kod"/>
    <tableColumn id="3" name="Tur"/>
    <tableColumn id="4" name="Summa"/>
    <tableColumn id="5" name="Izoh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TovargaPul" displayName="tblTovargaPul" ref="A4:E104" headerRowCount="1">
  <autoFilter ref="A4:E104"/>
  <tableColumns count="5">
    <tableColumn id="1" name="Sana"/>
    <tableColumn id="2" name="Kod"/>
    <tableColumn id="3" name="Yetkazuvchi"/>
    <tableColumn id="4" name="Summa"/>
    <tableColumn id="5" name="Izoh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KunlikKassa" displayName="tblKunlikKassa" ref="A4:H104" headerRowCount="1">
  <autoFilter ref="A4:H104"/>
  <tableColumns count="8">
    <tableColumn id="1" name="Sana"/>
    <tableColumn id="2" name="Kirdi"/>
    <tableColumn id="3" name="Xarajat"/>
    <tableColumn id="4" name="Tavarga_pul"/>
    <tableColumn id="5" name="Boshqa_chiqim"/>
    <tableColumn id="6" name="Jami_chiqim"/>
    <tableColumn id="7" name="Kunlik_farq"/>
    <tableColumn id="8" name="Kassa_qoldiq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OldiBerdi" displayName="tblOldiBerdi" ref="A4:G104" headerRowCount="1">
  <autoFilter ref="A4:G104"/>
  <tableColumns count="7">
    <tableColumn id="1" name="Sana"/>
    <tableColumn id="2" name="Kod"/>
    <tableColumn id="3" name="Odam"/>
    <tableColumn id="4" name="Berdim"/>
    <tableColumn id="5" name="Oldim"/>
    <tableColumn id="6" name="Izoh"/>
    <tableColumn id="7" name="Qator_balan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</cols>
  <sheetData>
    <row r="1">
      <c r="A1" s="1" t="inlineStr">
        <is>
          <t>Sozlamalar</t>
        </is>
      </c>
    </row>
    <row r="2">
      <c r="A2" s="2" t="inlineStr">
        <is>
          <t>Sariq kataklarni o'zgartiring. Yashil — avtomatik hisob. Qisqa KOD yozing (masalan SH, SV) — to'liq ism avtomatik chiqadi.</t>
        </is>
      </c>
    </row>
    <row r="4" ht="30" customHeight="1">
      <c r="A4" s="3" t="inlineStr">
        <is>
          <t>Parametr</t>
        </is>
      </c>
      <c r="B4" s="3" t="inlineStr">
        <is>
          <t>Qiymat</t>
        </is>
      </c>
      <c r="C4" s="3" t="inlineStr">
        <is>
          <t>Izoh</t>
        </is>
      </c>
    </row>
    <row r="5">
      <c r="A5" t="inlineStr">
        <is>
          <t>Do'kon nomi</t>
        </is>
      </c>
      <c r="B5" s="4" t="inlineStr">
        <is>
          <t>Namuna Do'kon</t>
        </is>
      </c>
      <c r="C5" t="inlineStr">
        <is>
          <t>Sarlavhalar uchun</t>
        </is>
      </c>
    </row>
    <row r="6">
      <c r="A6" t="inlineStr">
        <is>
          <t>Boshlang'ich kassa qoldiq</t>
        </is>
      </c>
      <c r="B6" s="5" t="n">
        <v>500000</v>
      </c>
      <c r="C6" t="inlineStr">
        <is>
          <t>Birinchi kun oldin kassadagi pul (so'm)</t>
        </is>
      </c>
    </row>
    <row r="7">
      <c r="A7" t="inlineStr">
        <is>
          <t>Hisobot oyi</t>
        </is>
      </c>
      <c r="B7" s="4" t="n">
        <v>8</v>
      </c>
      <c r="C7" t="inlineStr">
        <is>
          <t>1–12 (Oylik xulosa filtri)</t>
        </is>
      </c>
    </row>
    <row r="8">
      <c r="A8" t="inlineStr">
        <is>
          <t>Hisobot yili</t>
        </is>
      </c>
      <c r="B8" s="4" t="n">
        <v>2026</v>
      </c>
      <c r="C8" t="inlineStr">
        <is>
          <t>Masalan: 2026</t>
        </is>
      </c>
    </row>
    <row r="10">
      <c r="A10" s="6" t="inlineStr">
        <is>
          <t>Odamlar ro'yxati (kodlash)</t>
        </is>
      </c>
    </row>
    <row r="11" ht="30" customHeight="1">
      <c r="A11" s="3" t="inlineStr">
        <is>
          <t>Kod</t>
        </is>
      </c>
      <c r="B11" s="3" t="inlineStr">
        <is>
          <t>Ism</t>
        </is>
      </c>
      <c r="C11" s="3" t="inlineStr">
        <is>
          <t>Izoh</t>
        </is>
      </c>
    </row>
    <row r="12">
      <c r="A12" s="4" t="inlineStr">
        <is>
          <t>SH</t>
        </is>
      </c>
      <c r="B12" s="4" t="inlineStr">
        <is>
          <t>sharobidin aka</t>
        </is>
      </c>
      <c r="C12" s="4" t="inlineStr">
        <is>
          <t>Do'st / hamkor</t>
        </is>
      </c>
    </row>
    <row r="13">
      <c r="A13" s="4" t="inlineStr">
        <is>
          <t>JA</t>
        </is>
      </c>
      <c r="B13" s="4" t="inlineStr">
        <is>
          <t>jasur aka</t>
        </is>
      </c>
      <c r="C13" s="4" t="inlineStr">
        <is>
          <t>Yetkazuvchi</t>
        </is>
      </c>
    </row>
    <row r="14">
      <c r="A14" s="4" t="inlineStr">
        <is>
          <t>SI</t>
        </is>
      </c>
      <c r="B14" s="4" t="inlineStr">
        <is>
          <t>siroch aka</t>
        </is>
      </c>
      <c r="C14" s="4" t="inlineStr">
        <is>
          <t>Qo'shni</t>
        </is>
      </c>
    </row>
    <row r="15">
      <c r="A15" s="4" t="inlineStr"/>
      <c r="B15" s="4" t="inlineStr"/>
      <c r="C15" s="4" t="inlineStr"/>
    </row>
    <row r="16">
      <c r="A16" s="4" t="inlineStr"/>
      <c r="B16" s="4" t="inlineStr"/>
      <c r="C16" s="4" t="inlineStr"/>
    </row>
    <row r="23">
      <c r="A23" s="6" t="inlineStr">
        <is>
          <t>Xarajat turlari (kodlash)</t>
        </is>
      </c>
    </row>
    <row r="25" ht="30" customHeight="1">
      <c r="A25" s="3" t="inlineStr">
        <is>
          <t>Kod</t>
        </is>
      </c>
      <c r="B25" s="3" t="inlineStr">
        <is>
          <t>Nomi</t>
        </is>
      </c>
    </row>
    <row r="26">
      <c r="A26" s="4" t="inlineStr">
        <is>
          <t>SV</t>
        </is>
      </c>
      <c r="B26" s="4" t="inlineStr">
        <is>
          <t>svet</t>
        </is>
      </c>
    </row>
    <row r="27">
      <c r="A27" s="4" t="inlineStr">
        <is>
          <t>AB</t>
        </is>
      </c>
      <c r="B27" s="4" t="inlineStr">
        <is>
          <t>abet</t>
        </is>
      </c>
    </row>
    <row r="28">
      <c r="A28" s="4" t="inlineStr">
        <is>
          <t>IJ</t>
        </is>
      </c>
      <c r="B28" s="4" t="inlineStr">
        <is>
          <t>ijara</t>
        </is>
      </c>
    </row>
    <row r="29">
      <c r="A29" s="4" t="inlineStr">
        <is>
          <t>MS</t>
        </is>
      </c>
      <c r="B29" s="4" t="inlineStr">
        <is>
          <t>maosh</t>
        </is>
      </c>
    </row>
    <row r="30">
      <c r="A30" s="4" t="inlineStr">
        <is>
          <t>TR</t>
        </is>
      </c>
      <c r="B30" s="4" t="inlineStr">
        <is>
          <t>transport</t>
        </is>
      </c>
    </row>
    <row r="31">
      <c r="A31" s="4" t="inlineStr">
        <is>
          <t>BOSHQA</t>
        </is>
      </c>
      <c r="B31" s="4" t="inlineStr">
        <is>
          <t>boshqa</t>
        </is>
      </c>
    </row>
    <row r="32">
      <c r="A32" s="4" t="inlineStr"/>
      <c r="B32" s="4" t="inlineStr"/>
    </row>
    <row r="37">
      <c r="A37" s="6" t="inlineStr">
        <is>
          <t>Yetkazuvchilar / Tovar manba (kodlash)</t>
        </is>
      </c>
    </row>
    <row r="39" ht="30" customHeight="1">
      <c r="A39" s="3" t="inlineStr">
        <is>
          <t>Kod</t>
        </is>
      </c>
      <c r="B39" s="3" t="inlineStr">
        <is>
          <t>Ism</t>
        </is>
      </c>
    </row>
    <row r="40">
      <c r="A40" s="4" t="inlineStr">
        <is>
          <t>JA</t>
        </is>
      </c>
      <c r="B40" s="4" t="inlineStr">
        <is>
          <t>jasur aka</t>
        </is>
      </c>
    </row>
    <row r="41">
      <c r="A41" s="4" t="inlineStr">
        <is>
          <t>SH</t>
        </is>
      </c>
      <c r="B41" s="4" t="inlineStr">
        <is>
          <t>sharobidin aka</t>
        </is>
      </c>
    </row>
    <row r="42">
      <c r="A42" s="4" t="inlineStr">
        <is>
          <t>BAZAR</t>
        </is>
      </c>
      <c r="B42" s="4" t="inlineStr">
        <is>
          <t>bazar</t>
        </is>
      </c>
    </row>
    <row r="43">
      <c r="A43" s="4" t="inlineStr">
        <is>
          <t>OPT</t>
        </is>
      </c>
      <c r="B43" s="4" t="inlineStr">
        <is>
          <t>optom yetkazuvchi</t>
        </is>
      </c>
    </row>
    <row r="44">
      <c r="A44" s="4" t="inlineStr"/>
      <c r="B44" s="4" t="inlineStr"/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0" customWidth="1" min="4" max="4"/>
    <col width="16" customWidth="1" min="5" max="5"/>
  </cols>
  <sheetData>
    <row r="1">
      <c r="A1" s="1" t="inlineStr">
        <is>
          <t>Xarajatlar (batafsil)</t>
        </is>
      </c>
    </row>
    <row r="2">
      <c r="A2" s="2" t="inlineStr">
        <is>
          <t>Qisqa KOD + summa yozing (masalan: SV va 50000). Sana va tur nomi avtomatik. Parametrlardan yangi kod qo'shishingiz mumkin.</t>
        </is>
      </c>
    </row>
    <row r="3"/>
    <row r="4" ht="30" customHeight="1">
      <c r="A4" s="3" t="inlineStr">
        <is>
          <t>Sana</t>
        </is>
      </c>
      <c r="B4" s="3" t="inlineStr">
        <is>
          <t>Kod</t>
        </is>
      </c>
      <c r="C4" s="3" t="inlineStr">
        <is>
          <t>Tur</t>
        </is>
      </c>
      <c r="D4" s="3" t="inlineStr">
        <is>
          <t>Summa</t>
        </is>
      </c>
      <c r="E4" s="3" t="inlineStr">
        <is>
          <t>Izoh</t>
        </is>
      </c>
    </row>
    <row r="5">
      <c r="A5" s="7" t="n">
        <v>46235</v>
      </c>
      <c r="B5" s="4" t="inlineStr">
        <is>
          <t>SV</t>
        </is>
      </c>
      <c r="C5" s="8">
        <f>IF(B5="","",IFERROR(XLOOKUP(B5,tblXarajatTurlari[Kod],tblXarajatTurlari[Nomi]),"?"))</f>
        <v/>
      </c>
      <c r="D5" s="5" t="n">
        <v>45000</v>
      </c>
      <c r="E5" s="4" t="inlineStr">
        <is>
          <t>Elektr to'lovi</t>
        </is>
      </c>
    </row>
    <row r="6">
      <c r="A6" s="7" t="n">
        <v>46235</v>
      </c>
      <c r="B6" s="4" t="inlineStr">
        <is>
          <t>AB</t>
        </is>
      </c>
      <c r="C6" s="8">
        <f>IF(B6="","",IFERROR(XLOOKUP(B6,tblXarajatTurlari[Kod],tblXarajatTurlari[Nomi]),"?"))</f>
        <v/>
      </c>
      <c r="D6" s="5" t="n">
        <v>35000</v>
      </c>
      <c r="E6" s="4" t="inlineStr">
        <is>
          <t>Tushlik</t>
        </is>
      </c>
    </row>
    <row r="7">
      <c r="A7" s="7" t="n">
        <v>46236</v>
      </c>
      <c r="B7" s="4" t="inlineStr">
        <is>
          <t>IJ</t>
        </is>
      </c>
      <c r="C7" s="8">
        <f>IF(B7="","",IFERROR(XLOOKUP(B7,tblXarajatTurlari[Kod],tblXarajatTurlari[Nomi]),"?"))</f>
        <v/>
      </c>
      <c r="D7" s="5" t="n">
        <v>500000</v>
      </c>
      <c r="E7" s="4" t="inlineStr">
        <is>
          <t>Ijara</t>
        </is>
      </c>
    </row>
    <row r="8">
      <c r="A8" s="7">
        <f>IF(OR(B8&lt;&gt;"",D8&gt;0),TODAY(),"")</f>
        <v/>
      </c>
      <c r="B8" s="4" t="n"/>
      <c r="C8" s="8">
        <f>IF(B8="","",IFERROR(XLOOKUP(B8,tblXarajatTurlari[Kod],tblXarajatTurlari[Nomi]),"?"))</f>
        <v/>
      </c>
      <c r="D8" s="5" t="n"/>
      <c r="E8" s="4" t="n"/>
    </row>
    <row r="9">
      <c r="A9" s="7">
        <f>IF(OR(B9&lt;&gt;"",D9&gt;0),TODAY(),"")</f>
        <v/>
      </c>
      <c r="B9" s="4" t="n"/>
      <c r="C9" s="8">
        <f>IF(B9="","",IFERROR(XLOOKUP(B9,tblXarajatTurlari[Kod],tblXarajatTurlari[Nomi]),"?"))</f>
        <v/>
      </c>
      <c r="D9" s="5" t="n"/>
      <c r="E9" s="4" t="n"/>
    </row>
    <row r="10">
      <c r="A10" s="7">
        <f>IF(OR(B10&lt;&gt;"",D10&gt;0),TODAY(),"")</f>
        <v/>
      </c>
      <c r="B10" s="4" t="n"/>
      <c r="C10" s="8">
        <f>IF(B10="","",IFERROR(XLOOKUP(B10,tblXarajatTurlari[Kod],tblXarajatTurlari[Nomi]),"?"))</f>
        <v/>
      </c>
      <c r="D10" s="5" t="n"/>
      <c r="E10" s="4" t="n"/>
    </row>
    <row r="11">
      <c r="A11" s="7">
        <f>IF(OR(B11&lt;&gt;"",D11&gt;0),TODAY(),"")</f>
        <v/>
      </c>
      <c r="B11" s="4" t="n"/>
      <c r="C11" s="8">
        <f>IF(B11="","",IFERROR(XLOOKUP(B11,tblXarajatTurlari[Kod],tblXarajatTurlari[Nomi]),"?"))</f>
        <v/>
      </c>
      <c r="D11" s="5" t="n"/>
      <c r="E11" s="4" t="n"/>
    </row>
    <row r="12">
      <c r="A12" s="7">
        <f>IF(OR(B12&lt;&gt;"",D12&gt;0),TODAY(),"")</f>
        <v/>
      </c>
      <c r="B12" s="4" t="n"/>
      <c r="C12" s="8">
        <f>IF(B12="","",IFERROR(XLOOKUP(B12,tblXarajatTurlari[Kod],tblXarajatTurlari[Nomi]),"?"))</f>
        <v/>
      </c>
      <c r="D12" s="5" t="n"/>
      <c r="E12" s="4" t="n"/>
    </row>
    <row r="13">
      <c r="A13" s="7">
        <f>IF(OR(B13&lt;&gt;"",D13&gt;0),TODAY(),"")</f>
        <v/>
      </c>
      <c r="B13" s="4" t="n"/>
      <c r="C13" s="8">
        <f>IF(B13="","",IFERROR(XLOOKUP(B13,tblXarajatTurlari[Kod],tblXarajatTurlari[Nomi]),"?"))</f>
        <v/>
      </c>
      <c r="D13" s="5" t="n"/>
      <c r="E13" s="4" t="n"/>
    </row>
    <row r="14">
      <c r="A14" s="7">
        <f>IF(OR(B14&lt;&gt;"",D14&gt;0),TODAY(),"")</f>
        <v/>
      </c>
      <c r="B14" s="4" t="n"/>
      <c r="C14" s="8">
        <f>IF(B14="","",IFERROR(XLOOKUP(B14,tblXarajatTurlari[Kod],tblXarajatTurlari[Nomi]),"?"))</f>
        <v/>
      </c>
      <c r="D14" s="5" t="n"/>
      <c r="E14" s="4" t="n"/>
    </row>
    <row r="15">
      <c r="A15" s="7">
        <f>IF(OR(B15&lt;&gt;"",D15&gt;0),TODAY(),"")</f>
        <v/>
      </c>
      <c r="B15" s="4" t="n"/>
      <c r="C15" s="8">
        <f>IF(B15="","",IFERROR(XLOOKUP(B15,tblXarajatTurlari[Kod],tblXarajatTurlari[Nomi]),"?"))</f>
        <v/>
      </c>
      <c r="D15" s="5" t="n"/>
      <c r="E15" s="4" t="n"/>
    </row>
    <row r="16">
      <c r="A16" s="7">
        <f>IF(OR(B16&lt;&gt;"",D16&gt;0),TODAY(),"")</f>
        <v/>
      </c>
      <c r="B16" s="4" t="n"/>
      <c r="C16" s="8">
        <f>IF(B16="","",IFERROR(XLOOKUP(B16,tblXarajatTurlari[Kod],tblXarajatTurlari[Nomi]),"?"))</f>
        <v/>
      </c>
      <c r="D16" s="5" t="n"/>
      <c r="E16" s="4" t="n"/>
    </row>
    <row r="17">
      <c r="A17" s="7">
        <f>IF(OR(B17&lt;&gt;"",D17&gt;0),TODAY(),"")</f>
        <v/>
      </c>
      <c r="B17" s="4" t="n"/>
      <c r="C17" s="8">
        <f>IF(B17="","",IFERROR(XLOOKUP(B17,tblXarajatTurlari[Kod],tblXarajatTurlari[Nomi]),"?"))</f>
        <v/>
      </c>
      <c r="D17" s="5" t="n"/>
      <c r="E17" s="4" t="n"/>
    </row>
    <row r="18">
      <c r="A18" s="7">
        <f>IF(OR(B18&lt;&gt;"",D18&gt;0),TODAY(),"")</f>
        <v/>
      </c>
      <c r="B18" s="4" t="n"/>
      <c r="C18" s="8">
        <f>IF(B18="","",IFERROR(XLOOKUP(B18,tblXarajatTurlari[Kod],tblXarajatTurlari[Nomi]),"?"))</f>
        <v/>
      </c>
      <c r="D18" s="5" t="n"/>
      <c r="E18" s="4" t="n"/>
    </row>
    <row r="19">
      <c r="A19" s="7">
        <f>IF(OR(B19&lt;&gt;"",D19&gt;0),TODAY(),"")</f>
        <v/>
      </c>
      <c r="B19" s="4" t="n"/>
      <c r="C19" s="8">
        <f>IF(B19="","",IFERROR(XLOOKUP(B19,tblXarajatTurlari[Kod],tblXarajatTurlari[Nomi]),"?"))</f>
        <v/>
      </c>
      <c r="D19" s="5" t="n"/>
      <c r="E19" s="4" t="n"/>
    </row>
    <row r="20">
      <c r="A20" s="7">
        <f>IF(OR(B20&lt;&gt;"",D20&gt;0),TODAY(),"")</f>
        <v/>
      </c>
      <c r="B20" s="4" t="n"/>
      <c r="C20" s="8">
        <f>IF(B20="","",IFERROR(XLOOKUP(B20,tblXarajatTurlari[Kod],tblXarajatTurlari[Nomi]),"?"))</f>
        <v/>
      </c>
      <c r="D20" s="5" t="n"/>
      <c r="E20" s="4" t="n"/>
    </row>
    <row r="21">
      <c r="A21" s="7">
        <f>IF(OR(B21&lt;&gt;"",D21&gt;0),TODAY(),"")</f>
        <v/>
      </c>
      <c r="B21" s="4" t="n"/>
      <c r="C21" s="8">
        <f>IF(B21="","",IFERROR(XLOOKUP(B21,tblXarajatTurlari[Kod],tblXarajatTurlari[Nomi]),"?"))</f>
        <v/>
      </c>
      <c r="D21" s="5" t="n"/>
      <c r="E21" s="4" t="n"/>
    </row>
    <row r="22">
      <c r="A22" s="7">
        <f>IF(OR(B22&lt;&gt;"",D22&gt;0),TODAY(),"")</f>
        <v/>
      </c>
      <c r="B22" s="4" t="n"/>
      <c r="C22" s="8">
        <f>IF(B22="","",IFERROR(XLOOKUP(B22,tblXarajatTurlari[Kod],tblXarajatTurlari[Nomi]),"?"))</f>
        <v/>
      </c>
      <c r="D22" s="5" t="n"/>
      <c r="E22" s="4" t="n"/>
    </row>
    <row r="23">
      <c r="A23" s="7">
        <f>IF(OR(B23&lt;&gt;"",D23&gt;0),TODAY(),"")</f>
        <v/>
      </c>
      <c r="B23" s="4" t="n"/>
      <c r="C23" s="8">
        <f>IF(B23="","",IFERROR(XLOOKUP(B23,tblXarajatTurlari[Kod],tblXarajatTurlari[Nomi]),"?"))</f>
        <v/>
      </c>
      <c r="D23" s="5" t="n"/>
      <c r="E23" s="4" t="n"/>
    </row>
    <row r="24">
      <c r="A24" s="7">
        <f>IF(OR(B24&lt;&gt;"",D24&gt;0),TODAY(),"")</f>
        <v/>
      </c>
      <c r="B24" s="4" t="n"/>
      <c r="C24" s="8">
        <f>IF(B24="","",IFERROR(XLOOKUP(B24,tblXarajatTurlari[Kod],tblXarajatTurlari[Nomi]),"?"))</f>
        <v/>
      </c>
      <c r="D24" s="5" t="n"/>
      <c r="E24" s="4" t="n"/>
    </row>
    <row r="25">
      <c r="A25" s="7">
        <f>IF(OR(B25&lt;&gt;"",D25&gt;0),TODAY(),"")</f>
        <v/>
      </c>
      <c r="B25" s="4" t="n"/>
      <c r="C25" s="8">
        <f>IF(B25="","",IFERROR(XLOOKUP(B25,tblXarajatTurlari[Kod],tblXarajatTurlari[Nomi]),"?"))</f>
        <v/>
      </c>
      <c r="D25" s="5" t="n"/>
      <c r="E25" s="4" t="n"/>
    </row>
    <row r="26">
      <c r="A26" s="7">
        <f>IF(OR(B26&lt;&gt;"",D26&gt;0),TODAY(),"")</f>
        <v/>
      </c>
      <c r="B26" s="4" t="n"/>
      <c r="C26" s="8">
        <f>IF(B26="","",IFERROR(XLOOKUP(B26,tblXarajatTurlari[Kod],tblXarajatTurlari[Nomi]),"?"))</f>
        <v/>
      </c>
      <c r="D26" s="5" t="n"/>
      <c r="E26" s="4" t="n"/>
    </row>
    <row r="27">
      <c r="A27" s="7">
        <f>IF(OR(B27&lt;&gt;"",D27&gt;0),TODAY(),"")</f>
        <v/>
      </c>
      <c r="B27" s="4" t="n"/>
      <c r="C27" s="8">
        <f>IF(B27="","",IFERROR(XLOOKUP(B27,tblXarajatTurlari[Kod],tblXarajatTurlari[Nomi]),"?"))</f>
        <v/>
      </c>
      <c r="D27" s="5" t="n"/>
      <c r="E27" s="4" t="n"/>
    </row>
    <row r="28">
      <c r="A28" s="7">
        <f>IF(OR(B28&lt;&gt;"",D28&gt;0),TODAY(),"")</f>
        <v/>
      </c>
      <c r="B28" s="4" t="n"/>
      <c r="C28" s="8">
        <f>IF(B28="","",IFERROR(XLOOKUP(B28,tblXarajatTurlari[Kod],tblXarajatTurlari[Nomi]),"?"))</f>
        <v/>
      </c>
      <c r="D28" s="5" t="n"/>
      <c r="E28" s="4" t="n"/>
    </row>
    <row r="29">
      <c r="A29" s="7">
        <f>IF(OR(B29&lt;&gt;"",D29&gt;0),TODAY(),"")</f>
        <v/>
      </c>
      <c r="B29" s="4" t="n"/>
      <c r="C29" s="8">
        <f>IF(B29="","",IFERROR(XLOOKUP(B29,tblXarajatTurlari[Kod],tblXarajatTurlari[Nomi]),"?"))</f>
        <v/>
      </c>
      <c r="D29" s="5" t="n"/>
      <c r="E29" s="4" t="n"/>
    </row>
    <row r="30">
      <c r="A30" s="7">
        <f>IF(OR(B30&lt;&gt;"",D30&gt;0),TODAY(),"")</f>
        <v/>
      </c>
      <c r="B30" s="4" t="n"/>
      <c r="C30" s="8">
        <f>IF(B30="","",IFERROR(XLOOKUP(B30,tblXarajatTurlari[Kod],tblXarajatTurlari[Nomi]),"?"))</f>
        <v/>
      </c>
      <c r="D30" s="5" t="n"/>
      <c r="E30" s="4" t="n"/>
    </row>
    <row r="31">
      <c r="A31" s="7">
        <f>IF(OR(B31&lt;&gt;"",D31&gt;0),TODAY(),"")</f>
        <v/>
      </c>
      <c r="B31" s="4" t="n"/>
      <c r="C31" s="8">
        <f>IF(B31="","",IFERROR(XLOOKUP(B31,tblXarajatTurlari[Kod],tblXarajatTurlari[Nomi]),"?"))</f>
        <v/>
      </c>
      <c r="D31" s="5" t="n"/>
      <c r="E31" s="4" t="n"/>
    </row>
    <row r="32">
      <c r="A32" s="7">
        <f>IF(OR(B32&lt;&gt;"",D32&gt;0),TODAY(),"")</f>
        <v/>
      </c>
      <c r="B32" s="4" t="n"/>
      <c r="C32" s="8">
        <f>IF(B32="","",IFERROR(XLOOKUP(B32,tblXarajatTurlari[Kod],tblXarajatTurlari[Nomi]),"?"))</f>
        <v/>
      </c>
      <c r="D32" s="5" t="n"/>
      <c r="E32" s="4" t="n"/>
    </row>
    <row r="33">
      <c r="A33" s="7">
        <f>IF(OR(B33&lt;&gt;"",D33&gt;0),TODAY(),"")</f>
        <v/>
      </c>
      <c r="B33" s="4" t="n"/>
      <c r="C33" s="8">
        <f>IF(B33="","",IFERROR(XLOOKUP(B33,tblXarajatTurlari[Kod],tblXarajatTurlari[Nomi]),"?"))</f>
        <v/>
      </c>
      <c r="D33" s="5" t="n"/>
      <c r="E33" s="4" t="n"/>
    </row>
    <row r="34">
      <c r="A34" s="7">
        <f>IF(OR(B34&lt;&gt;"",D34&gt;0),TODAY(),"")</f>
        <v/>
      </c>
      <c r="B34" s="4" t="n"/>
      <c r="C34" s="8">
        <f>IF(B34="","",IFERROR(XLOOKUP(B34,tblXarajatTurlari[Kod],tblXarajatTurlari[Nomi]),"?"))</f>
        <v/>
      </c>
      <c r="D34" s="5" t="n"/>
      <c r="E34" s="4" t="n"/>
    </row>
    <row r="35">
      <c r="A35" s="7">
        <f>IF(OR(B35&lt;&gt;"",D35&gt;0),TODAY(),"")</f>
        <v/>
      </c>
      <c r="B35" s="4" t="n"/>
      <c r="C35" s="8">
        <f>IF(B35="","",IFERROR(XLOOKUP(B35,tblXarajatTurlari[Kod],tblXarajatTurlari[Nomi]),"?"))</f>
        <v/>
      </c>
      <c r="D35" s="5" t="n"/>
      <c r="E35" s="4" t="n"/>
    </row>
    <row r="36">
      <c r="A36" s="7">
        <f>IF(OR(B36&lt;&gt;"",D36&gt;0),TODAY(),"")</f>
        <v/>
      </c>
      <c r="B36" s="4" t="n"/>
      <c r="C36" s="8">
        <f>IF(B36="","",IFERROR(XLOOKUP(B36,tblXarajatTurlari[Kod],tblXarajatTurlari[Nomi]),"?"))</f>
        <v/>
      </c>
      <c r="D36" s="5" t="n"/>
      <c r="E36" s="4" t="n"/>
    </row>
    <row r="37">
      <c r="A37" s="7">
        <f>IF(OR(B37&lt;&gt;"",D37&gt;0),TODAY(),"")</f>
        <v/>
      </c>
      <c r="B37" s="4" t="n"/>
      <c r="C37" s="8">
        <f>IF(B37="","",IFERROR(XLOOKUP(B37,tblXarajatTurlari[Kod],tblXarajatTurlari[Nomi]),"?"))</f>
        <v/>
      </c>
      <c r="D37" s="5" t="n"/>
      <c r="E37" s="4" t="n"/>
    </row>
    <row r="38">
      <c r="A38" s="7">
        <f>IF(OR(B38&lt;&gt;"",D38&gt;0),TODAY(),"")</f>
        <v/>
      </c>
      <c r="B38" s="4" t="n"/>
      <c r="C38" s="8">
        <f>IF(B38="","",IFERROR(XLOOKUP(B38,tblXarajatTurlari[Kod],tblXarajatTurlari[Nomi]),"?"))</f>
        <v/>
      </c>
      <c r="D38" s="5" t="n"/>
      <c r="E38" s="4" t="n"/>
    </row>
    <row r="39">
      <c r="A39" s="7">
        <f>IF(OR(B39&lt;&gt;"",D39&gt;0),TODAY(),"")</f>
        <v/>
      </c>
      <c r="B39" s="4" t="n"/>
      <c r="C39" s="8">
        <f>IF(B39="","",IFERROR(XLOOKUP(B39,tblXarajatTurlari[Kod],tblXarajatTurlari[Nomi]),"?"))</f>
        <v/>
      </c>
      <c r="D39" s="5" t="n"/>
      <c r="E39" s="4" t="n"/>
    </row>
    <row r="40">
      <c r="A40" s="7">
        <f>IF(OR(B40&lt;&gt;"",D40&gt;0),TODAY(),"")</f>
        <v/>
      </c>
      <c r="B40" s="4" t="n"/>
      <c r="C40" s="8">
        <f>IF(B40="","",IFERROR(XLOOKUP(B40,tblXarajatTurlari[Kod],tblXarajatTurlari[Nomi]),"?"))</f>
        <v/>
      </c>
      <c r="D40" s="5" t="n"/>
      <c r="E40" s="4" t="n"/>
    </row>
    <row r="41">
      <c r="A41" s="7">
        <f>IF(OR(B41&lt;&gt;"",D41&gt;0),TODAY(),"")</f>
        <v/>
      </c>
      <c r="B41" s="4" t="n"/>
      <c r="C41" s="8">
        <f>IF(B41="","",IFERROR(XLOOKUP(B41,tblXarajatTurlari[Kod],tblXarajatTurlari[Nomi]),"?"))</f>
        <v/>
      </c>
      <c r="D41" s="5" t="n"/>
      <c r="E41" s="4" t="n"/>
    </row>
    <row r="42">
      <c r="A42" s="7">
        <f>IF(OR(B42&lt;&gt;"",D42&gt;0),TODAY(),"")</f>
        <v/>
      </c>
      <c r="B42" s="4" t="n"/>
      <c r="C42" s="8">
        <f>IF(B42="","",IFERROR(XLOOKUP(B42,tblXarajatTurlari[Kod],tblXarajatTurlari[Nomi]),"?"))</f>
        <v/>
      </c>
      <c r="D42" s="5" t="n"/>
      <c r="E42" s="4" t="n"/>
    </row>
    <row r="43">
      <c r="A43" s="7">
        <f>IF(OR(B43&lt;&gt;"",D43&gt;0),TODAY(),"")</f>
        <v/>
      </c>
      <c r="B43" s="4" t="n"/>
      <c r="C43" s="8">
        <f>IF(B43="","",IFERROR(XLOOKUP(B43,tblXarajatTurlari[Kod],tblXarajatTurlari[Nomi]),"?"))</f>
        <v/>
      </c>
      <c r="D43" s="5" t="n"/>
      <c r="E43" s="4" t="n"/>
    </row>
    <row r="44">
      <c r="A44" s="7">
        <f>IF(OR(B44&lt;&gt;"",D44&gt;0),TODAY(),"")</f>
        <v/>
      </c>
      <c r="B44" s="4" t="n"/>
      <c r="C44" s="8">
        <f>IF(B44="","",IFERROR(XLOOKUP(B44,tblXarajatTurlari[Kod],tblXarajatTurlari[Nomi]),"?"))</f>
        <v/>
      </c>
      <c r="D44" s="5" t="n"/>
      <c r="E44" s="4" t="n"/>
    </row>
    <row r="45">
      <c r="A45" s="7">
        <f>IF(OR(B45&lt;&gt;"",D45&gt;0),TODAY(),"")</f>
        <v/>
      </c>
      <c r="B45" s="4" t="n"/>
      <c r="C45" s="8">
        <f>IF(B45="","",IFERROR(XLOOKUP(B45,tblXarajatTurlari[Kod],tblXarajatTurlari[Nomi]),"?"))</f>
        <v/>
      </c>
      <c r="D45" s="5" t="n"/>
      <c r="E45" s="4" t="n"/>
    </row>
    <row r="46">
      <c r="A46" s="7">
        <f>IF(OR(B46&lt;&gt;"",D46&gt;0),TODAY(),"")</f>
        <v/>
      </c>
      <c r="B46" s="4" t="n"/>
      <c r="C46" s="8">
        <f>IF(B46="","",IFERROR(XLOOKUP(B46,tblXarajatTurlari[Kod],tblXarajatTurlari[Nomi]),"?"))</f>
        <v/>
      </c>
      <c r="D46" s="5" t="n"/>
      <c r="E46" s="4" t="n"/>
    </row>
    <row r="47">
      <c r="A47" s="7">
        <f>IF(OR(B47&lt;&gt;"",D47&gt;0),TODAY(),"")</f>
        <v/>
      </c>
      <c r="B47" s="4" t="n"/>
      <c r="C47" s="8">
        <f>IF(B47="","",IFERROR(XLOOKUP(B47,tblXarajatTurlari[Kod],tblXarajatTurlari[Nomi]),"?"))</f>
        <v/>
      </c>
      <c r="D47" s="5" t="n"/>
      <c r="E47" s="4" t="n"/>
    </row>
    <row r="48">
      <c r="A48" s="7">
        <f>IF(OR(B48&lt;&gt;"",D48&gt;0),TODAY(),"")</f>
        <v/>
      </c>
      <c r="B48" s="4" t="n"/>
      <c r="C48" s="8">
        <f>IF(B48="","",IFERROR(XLOOKUP(B48,tblXarajatTurlari[Kod],tblXarajatTurlari[Nomi]),"?"))</f>
        <v/>
      </c>
      <c r="D48" s="5" t="n"/>
      <c r="E48" s="4" t="n"/>
    </row>
    <row r="49">
      <c r="A49" s="7">
        <f>IF(OR(B49&lt;&gt;"",D49&gt;0),TODAY(),"")</f>
        <v/>
      </c>
      <c r="B49" s="4" t="n"/>
      <c r="C49" s="8">
        <f>IF(B49="","",IFERROR(XLOOKUP(B49,tblXarajatTurlari[Kod],tblXarajatTurlari[Nomi]),"?"))</f>
        <v/>
      </c>
      <c r="D49" s="5" t="n"/>
      <c r="E49" s="4" t="n"/>
    </row>
    <row r="50">
      <c r="A50" s="7">
        <f>IF(OR(B50&lt;&gt;"",D50&gt;0),TODAY(),"")</f>
        <v/>
      </c>
      <c r="B50" s="4" t="n"/>
      <c r="C50" s="8">
        <f>IF(B50="","",IFERROR(XLOOKUP(B50,tblXarajatTurlari[Kod],tblXarajatTurlari[Nomi]),"?"))</f>
        <v/>
      </c>
      <c r="D50" s="5" t="n"/>
      <c r="E50" s="4" t="n"/>
    </row>
    <row r="51">
      <c r="A51" s="7">
        <f>IF(OR(B51&lt;&gt;"",D51&gt;0),TODAY(),"")</f>
        <v/>
      </c>
      <c r="B51" s="4" t="n"/>
      <c r="C51" s="8">
        <f>IF(B51="","",IFERROR(XLOOKUP(B51,tblXarajatTurlari[Kod],tblXarajatTurlari[Nomi]),"?"))</f>
        <v/>
      </c>
      <c r="D51" s="5" t="n"/>
      <c r="E51" s="4" t="n"/>
    </row>
    <row r="52">
      <c r="A52" s="7">
        <f>IF(OR(B52&lt;&gt;"",D52&gt;0),TODAY(),"")</f>
        <v/>
      </c>
      <c r="B52" s="4" t="n"/>
      <c r="C52" s="8">
        <f>IF(B52="","",IFERROR(XLOOKUP(B52,tblXarajatTurlari[Kod],tblXarajatTurlari[Nomi]),"?"))</f>
        <v/>
      </c>
      <c r="D52" s="5" t="n"/>
      <c r="E52" s="4" t="n"/>
    </row>
    <row r="53">
      <c r="A53" s="7">
        <f>IF(OR(B53&lt;&gt;"",D53&gt;0),TODAY(),"")</f>
        <v/>
      </c>
      <c r="B53" s="4" t="n"/>
      <c r="C53" s="8">
        <f>IF(B53="","",IFERROR(XLOOKUP(B53,tblXarajatTurlari[Kod],tblXarajatTurlari[Nomi]),"?"))</f>
        <v/>
      </c>
      <c r="D53" s="5" t="n"/>
      <c r="E53" s="4" t="n"/>
    </row>
    <row r="54">
      <c r="A54" s="7">
        <f>IF(OR(B54&lt;&gt;"",D54&gt;0),TODAY(),"")</f>
        <v/>
      </c>
      <c r="B54" s="4" t="n"/>
      <c r="C54" s="8">
        <f>IF(B54="","",IFERROR(XLOOKUP(B54,tblXarajatTurlari[Kod],tblXarajatTurlari[Nomi]),"?"))</f>
        <v/>
      </c>
      <c r="D54" s="5" t="n"/>
      <c r="E54" s="4" t="n"/>
    </row>
    <row r="55">
      <c r="A55" s="7">
        <f>IF(OR(B55&lt;&gt;"",D55&gt;0),TODAY(),"")</f>
        <v/>
      </c>
      <c r="B55" s="4" t="n"/>
      <c r="C55" s="8">
        <f>IF(B55="","",IFERROR(XLOOKUP(B55,tblXarajatTurlari[Kod],tblXarajatTurlari[Nomi]),"?"))</f>
        <v/>
      </c>
      <c r="D55" s="5" t="n"/>
      <c r="E55" s="4" t="n"/>
    </row>
    <row r="56">
      <c r="A56" s="7">
        <f>IF(OR(B56&lt;&gt;"",D56&gt;0),TODAY(),"")</f>
        <v/>
      </c>
      <c r="B56" s="4" t="n"/>
      <c r="C56" s="8">
        <f>IF(B56="","",IFERROR(XLOOKUP(B56,tblXarajatTurlari[Kod],tblXarajatTurlari[Nomi]),"?"))</f>
        <v/>
      </c>
      <c r="D56" s="5" t="n"/>
      <c r="E56" s="4" t="n"/>
    </row>
    <row r="57">
      <c r="A57" s="7">
        <f>IF(OR(B57&lt;&gt;"",D57&gt;0),TODAY(),"")</f>
        <v/>
      </c>
      <c r="B57" s="4" t="n"/>
      <c r="C57" s="8">
        <f>IF(B57="","",IFERROR(XLOOKUP(B57,tblXarajatTurlari[Kod],tblXarajatTurlari[Nomi]),"?"))</f>
        <v/>
      </c>
      <c r="D57" s="5" t="n"/>
      <c r="E57" s="4" t="n"/>
    </row>
    <row r="58">
      <c r="A58" s="7">
        <f>IF(OR(B58&lt;&gt;"",D58&gt;0),TODAY(),"")</f>
        <v/>
      </c>
      <c r="B58" s="4" t="n"/>
      <c r="C58" s="8">
        <f>IF(B58="","",IFERROR(XLOOKUP(B58,tblXarajatTurlari[Kod],tblXarajatTurlari[Nomi]),"?"))</f>
        <v/>
      </c>
      <c r="D58" s="5" t="n"/>
      <c r="E58" s="4" t="n"/>
    </row>
    <row r="59">
      <c r="A59" s="7">
        <f>IF(OR(B59&lt;&gt;"",D59&gt;0),TODAY(),"")</f>
        <v/>
      </c>
      <c r="B59" s="4" t="n"/>
      <c r="C59" s="8">
        <f>IF(B59="","",IFERROR(XLOOKUP(B59,tblXarajatTurlari[Kod],tblXarajatTurlari[Nomi]),"?"))</f>
        <v/>
      </c>
      <c r="D59" s="5" t="n"/>
      <c r="E59" s="4" t="n"/>
    </row>
    <row r="60">
      <c r="A60" s="7">
        <f>IF(OR(B60&lt;&gt;"",D60&gt;0),TODAY(),"")</f>
        <v/>
      </c>
      <c r="B60" s="4" t="n"/>
      <c r="C60" s="8">
        <f>IF(B60="","",IFERROR(XLOOKUP(B60,tblXarajatTurlari[Kod],tblXarajatTurlari[Nomi]),"?"))</f>
        <v/>
      </c>
      <c r="D60" s="5" t="n"/>
      <c r="E60" s="4" t="n"/>
    </row>
    <row r="61">
      <c r="A61" s="7">
        <f>IF(OR(B61&lt;&gt;"",D61&gt;0),TODAY(),"")</f>
        <v/>
      </c>
      <c r="B61" s="4" t="n"/>
      <c r="C61" s="8">
        <f>IF(B61="","",IFERROR(XLOOKUP(B61,tblXarajatTurlari[Kod],tblXarajatTurlari[Nomi]),"?"))</f>
        <v/>
      </c>
      <c r="D61" s="5" t="n"/>
      <c r="E61" s="4" t="n"/>
    </row>
    <row r="62">
      <c r="A62" s="7">
        <f>IF(OR(B62&lt;&gt;"",D62&gt;0),TODAY(),"")</f>
        <v/>
      </c>
      <c r="B62" s="4" t="n"/>
      <c r="C62" s="8">
        <f>IF(B62="","",IFERROR(XLOOKUP(B62,tblXarajatTurlari[Kod],tblXarajatTurlari[Nomi]),"?"))</f>
        <v/>
      </c>
      <c r="D62" s="5" t="n"/>
      <c r="E62" s="4" t="n"/>
    </row>
    <row r="63">
      <c r="A63" s="7">
        <f>IF(OR(B63&lt;&gt;"",D63&gt;0),TODAY(),"")</f>
        <v/>
      </c>
      <c r="B63" s="4" t="n"/>
      <c r="C63" s="8">
        <f>IF(B63="","",IFERROR(XLOOKUP(B63,tblXarajatTurlari[Kod],tblXarajatTurlari[Nomi]),"?"))</f>
        <v/>
      </c>
      <c r="D63" s="5" t="n"/>
      <c r="E63" s="4" t="n"/>
    </row>
    <row r="64">
      <c r="A64" s="7">
        <f>IF(OR(B64&lt;&gt;"",D64&gt;0),TODAY(),"")</f>
        <v/>
      </c>
      <c r="B64" s="4" t="n"/>
      <c r="C64" s="8">
        <f>IF(B64="","",IFERROR(XLOOKUP(B64,tblXarajatTurlari[Kod],tblXarajatTurlari[Nomi]),"?"))</f>
        <v/>
      </c>
      <c r="D64" s="5" t="n"/>
      <c r="E64" s="4" t="n"/>
    </row>
    <row r="65">
      <c r="A65" s="7">
        <f>IF(OR(B65&lt;&gt;"",D65&gt;0),TODAY(),"")</f>
        <v/>
      </c>
      <c r="B65" s="4" t="n"/>
      <c r="C65" s="8">
        <f>IF(B65="","",IFERROR(XLOOKUP(B65,tblXarajatTurlari[Kod],tblXarajatTurlari[Nomi]),"?"))</f>
        <v/>
      </c>
      <c r="D65" s="5" t="n"/>
      <c r="E65" s="4" t="n"/>
    </row>
    <row r="66">
      <c r="A66" s="7">
        <f>IF(OR(B66&lt;&gt;"",D66&gt;0),TODAY(),"")</f>
        <v/>
      </c>
      <c r="B66" s="4" t="n"/>
      <c r="C66" s="8">
        <f>IF(B66="","",IFERROR(XLOOKUP(B66,tblXarajatTurlari[Kod],tblXarajatTurlari[Nomi]),"?"))</f>
        <v/>
      </c>
      <c r="D66" s="5" t="n"/>
      <c r="E66" s="4" t="n"/>
    </row>
    <row r="67">
      <c r="A67" s="7">
        <f>IF(OR(B67&lt;&gt;"",D67&gt;0),TODAY(),"")</f>
        <v/>
      </c>
      <c r="B67" s="4" t="n"/>
      <c r="C67" s="8">
        <f>IF(B67="","",IFERROR(XLOOKUP(B67,tblXarajatTurlari[Kod],tblXarajatTurlari[Nomi]),"?"))</f>
        <v/>
      </c>
      <c r="D67" s="5" t="n"/>
      <c r="E67" s="4" t="n"/>
    </row>
    <row r="68">
      <c r="A68" s="7">
        <f>IF(OR(B68&lt;&gt;"",D68&gt;0),TODAY(),"")</f>
        <v/>
      </c>
      <c r="B68" s="4" t="n"/>
      <c r="C68" s="8">
        <f>IF(B68="","",IFERROR(XLOOKUP(B68,tblXarajatTurlari[Kod],tblXarajatTurlari[Nomi]),"?"))</f>
        <v/>
      </c>
      <c r="D68" s="5" t="n"/>
      <c r="E68" s="4" t="n"/>
    </row>
    <row r="69">
      <c r="A69" s="7">
        <f>IF(OR(B69&lt;&gt;"",D69&gt;0),TODAY(),"")</f>
        <v/>
      </c>
      <c r="B69" s="4" t="n"/>
      <c r="C69" s="8">
        <f>IF(B69="","",IFERROR(XLOOKUP(B69,tblXarajatTurlari[Kod],tblXarajatTurlari[Nomi]),"?"))</f>
        <v/>
      </c>
      <c r="D69" s="5" t="n"/>
      <c r="E69" s="4" t="n"/>
    </row>
    <row r="70">
      <c r="A70" s="7">
        <f>IF(OR(B70&lt;&gt;"",D70&gt;0),TODAY(),"")</f>
        <v/>
      </c>
      <c r="B70" s="4" t="n"/>
      <c r="C70" s="8">
        <f>IF(B70="","",IFERROR(XLOOKUP(B70,tblXarajatTurlari[Kod],tblXarajatTurlari[Nomi]),"?"))</f>
        <v/>
      </c>
      <c r="D70" s="5" t="n"/>
      <c r="E70" s="4" t="n"/>
    </row>
    <row r="71">
      <c r="A71" s="7">
        <f>IF(OR(B71&lt;&gt;"",D71&gt;0),TODAY(),"")</f>
        <v/>
      </c>
      <c r="B71" s="4" t="n"/>
      <c r="C71" s="8">
        <f>IF(B71="","",IFERROR(XLOOKUP(B71,tblXarajatTurlari[Kod],tblXarajatTurlari[Nomi]),"?"))</f>
        <v/>
      </c>
      <c r="D71" s="5" t="n"/>
      <c r="E71" s="4" t="n"/>
    </row>
    <row r="72">
      <c r="A72" s="7">
        <f>IF(OR(B72&lt;&gt;"",D72&gt;0),TODAY(),"")</f>
        <v/>
      </c>
      <c r="B72" s="4" t="n"/>
      <c r="C72" s="8">
        <f>IF(B72="","",IFERROR(XLOOKUP(B72,tblXarajatTurlari[Kod],tblXarajatTurlari[Nomi]),"?"))</f>
        <v/>
      </c>
      <c r="D72" s="5" t="n"/>
      <c r="E72" s="4" t="n"/>
    </row>
    <row r="73">
      <c r="A73" s="7">
        <f>IF(OR(B73&lt;&gt;"",D73&gt;0),TODAY(),"")</f>
        <v/>
      </c>
      <c r="B73" s="4" t="n"/>
      <c r="C73" s="8">
        <f>IF(B73="","",IFERROR(XLOOKUP(B73,tblXarajatTurlari[Kod],tblXarajatTurlari[Nomi]),"?"))</f>
        <v/>
      </c>
      <c r="D73" s="5" t="n"/>
      <c r="E73" s="4" t="n"/>
    </row>
    <row r="74">
      <c r="A74" s="7">
        <f>IF(OR(B74&lt;&gt;"",D74&gt;0),TODAY(),"")</f>
        <v/>
      </c>
      <c r="B74" s="4" t="n"/>
      <c r="C74" s="8">
        <f>IF(B74="","",IFERROR(XLOOKUP(B74,tblXarajatTurlari[Kod],tblXarajatTurlari[Nomi]),"?"))</f>
        <v/>
      </c>
      <c r="D74" s="5" t="n"/>
      <c r="E74" s="4" t="n"/>
    </row>
    <row r="75">
      <c r="A75" s="7">
        <f>IF(OR(B75&lt;&gt;"",D75&gt;0),TODAY(),"")</f>
        <v/>
      </c>
      <c r="B75" s="4" t="n"/>
      <c r="C75" s="8">
        <f>IF(B75="","",IFERROR(XLOOKUP(B75,tblXarajatTurlari[Kod],tblXarajatTurlari[Nomi]),"?"))</f>
        <v/>
      </c>
      <c r="D75" s="5" t="n"/>
      <c r="E75" s="4" t="n"/>
    </row>
    <row r="76">
      <c r="A76" s="7">
        <f>IF(OR(B76&lt;&gt;"",D76&gt;0),TODAY(),"")</f>
        <v/>
      </c>
      <c r="B76" s="4" t="n"/>
      <c r="C76" s="8">
        <f>IF(B76="","",IFERROR(XLOOKUP(B76,tblXarajatTurlari[Kod],tblXarajatTurlari[Nomi]),"?"))</f>
        <v/>
      </c>
      <c r="D76" s="5" t="n"/>
      <c r="E76" s="4" t="n"/>
    </row>
    <row r="77">
      <c r="A77" s="7">
        <f>IF(OR(B77&lt;&gt;"",D77&gt;0),TODAY(),"")</f>
        <v/>
      </c>
      <c r="B77" s="4" t="n"/>
      <c r="C77" s="8">
        <f>IF(B77="","",IFERROR(XLOOKUP(B77,tblXarajatTurlari[Kod],tblXarajatTurlari[Nomi]),"?"))</f>
        <v/>
      </c>
      <c r="D77" s="5" t="n"/>
      <c r="E77" s="4" t="n"/>
    </row>
    <row r="78">
      <c r="A78" s="7">
        <f>IF(OR(B78&lt;&gt;"",D78&gt;0),TODAY(),"")</f>
        <v/>
      </c>
      <c r="B78" s="4" t="n"/>
      <c r="C78" s="8">
        <f>IF(B78="","",IFERROR(XLOOKUP(B78,tblXarajatTurlari[Kod],tblXarajatTurlari[Nomi]),"?"))</f>
        <v/>
      </c>
      <c r="D78" s="5" t="n"/>
      <c r="E78" s="4" t="n"/>
    </row>
    <row r="79">
      <c r="A79" s="7">
        <f>IF(OR(B79&lt;&gt;"",D79&gt;0),TODAY(),"")</f>
        <v/>
      </c>
      <c r="B79" s="4" t="n"/>
      <c r="C79" s="8">
        <f>IF(B79="","",IFERROR(XLOOKUP(B79,tblXarajatTurlari[Kod],tblXarajatTurlari[Nomi]),"?"))</f>
        <v/>
      </c>
      <c r="D79" s="5" t="n"/>
      <c r="E79" s="4" t="n"/>
    </row>
    <row r="80">
      <c r="A80" s="7">
        <f>IF(OR(B80&lt;&gt;"",D80&gt;0),TODAY(),"")</f>
        <v/>
      </c>
      <c r="B80" s="4" t="n"/>
      <c r="C80" s="8">
        <f>IF(B80="","",IFERROR(XLOOKUP(B80,tblXarajatTurlari[Kod],tblXarajatTurlari[Nomi]),"?"))</f>
        <v/>
      </c>
      <c r="D80" s="5" t="n"/>
      <c r="E80" s="4" t="n"/>
    </row>
    <row r="81">
      <c r="A81" s="7">
        <f>IF(OR(B81&lt;&gt;"",D81&gt;0),TODAY(),"")</f>
        <v/>
      </c>
      <c r="B81" s="4" t="n"/>
      <c r="C81" s="8">
        <f>IF(B81="","",IFERROR(XLOOKUP(B81,tblXarajatTurlari[Kod],tblXarajatTurlari[Nomi]),"?"))</f>
        <v/>
      </c>
      <c r="D81" s="5" t="n"/>
      <c r="E81" s="4" t="n"/>
    </row>
    <row r="82">
      <c r="A82" s="7">
        <f>IF(OR(B82&lt;&gt;"",D82&gt;0),TODAY(),"")</f>
        <v/>
      </c>
      <c r="B82" s="4" t="n"/>
      <c r="C82" s="8">
        <f>IF(B82="","",IFERROR(XLOOKUP(B82,tblXarajatTurlari[Kod],tblXarajatTurlari[Nomi]),"?"))</f>
        <v/>
      </c>
      <c r="D82" s="5" t="n"/>
      <c r="E82" s="4" t="n"/>
    </row>
    <row r="83">
      <c r="A83" s="7">
        <f>IF(OR(B83&lt;&gt;"",D83&gt;0),TODAY(),"")</f>
        <v/>
      </c>
      <c r="B83" s="4" t="n"/>
      <c r="C83" s="8">
        <f>IF(B83="","",IFERROR(XLOOKUP(B83,tblXarajatTurlari[Kod],tblXarajatTurlari[Nomi]),"?"))</f>
        <v/>
      </c>
      <c r="D83" s="5" t="n"/>
      <c r="E83" s="4" t="n"/>
    </row>
    <row r="84">
      <c r="A84" s="7">
        <f>IF(OR(B84&lt;&gt;"",D84&gt;0),TODAY(),"")</f>
        <v/>
      </c>
      <c r="B84" s="4" t="n"/>
      <c r="C84" s="8">
        <f>IF(B84="","",IFERROR(XLOOKUP(B84,tblXarajatTurlari[Kod],tblXarajatTurlari[Nomi]),"?"))</f>
        <v/>
      </c>
      <c r="D84" s="5" t="n"/>
      <c r="E84" s="4" t="n"/>
    </row>
    <row r="85">
      <c r="A85" s="7">
        <f>IF(OR(B85&lt;&gt;"",D85&gt;0),TODAY(),"")</f>
        <v/>
      </c>
      <c r="B85" s="4" t="n"/>
      <c r="C85" s="8">
        <f>IF(B85="","",IFERROR(XLOOKUP(B85,tblXarajatTurlari[Kod],tblXarajatTurlari[Nomi]),"?"))</f>
        <v/>
      </c>
      <c r="D85" s="5" t="n"/>
      <c r="E85" s="4" t="n"/>
    </row>
    <row r="86">
      <c r="A86" s="7">
        <f>IF(OR(B86&lt;&gt;"",D86&gt;0),TODAY(),"")</f>
        <v/>
      </c>
      <c r="B86" s="4" t="n"/>
      <c r="C86" s="8">
        <f>IF(B86="","",IFERROR(XLOOKUP(B86,tblXarajatTurlari[Kod],tblXarajatTurlari[Nomi]),"?"))</f>
        <v/>
      </c>
      <c r="D86" s="5" t="n"/>
      <c r="E86" s="4" t="n"/>
    </row>
    <row r="87">
      <c r="A87" s="7">
        <f>IF(OR(B87&lt;&gt;"",D87&gt;0),TODAY(),"")</f>
        <v/>
      </c>
      <c r="B87" s="4" t="n"/>
      <c r="C87" s="8">
        <f>IF(B87="","",IFERROR(XLOOKUP(B87,tblXarajatTurlari[Kod],tblXarajatTurlari[Nomi]),"?"))</f>
        <v/>
      </c>
      <c r="D87" s="5" t="n"/>
      <c r="E87" s="4" t="n"/>
    </row>
    <row r="88">
      <c r="A88" s="7">
        <f>IF(OR(B88&lt;&gt;"",D88&gt;0),TODAY(),"")</f>
        <v/>
      </c>
      <c r="B88" s="4" t="n"/>
      <c r="C88" s="8">
        <f>IF(B88="","",IFERROR(XLOOKUP(B88,tblXarajatTurlari[Kod],tblXarajatTurlari[Nomi]),"?"))</f>
        <v/>
      </c>
      <c r="D88" s="5" t="n"/>
      <c r="E88" s="4" t="n"/>
    </row>
    <row r="89">
      <c r="A89" s="7">
        <f>IF(OR(B89&lt;&gt;"",D89&gt;0),TODAY(),"")</f>
        <v/>
      </c>
      <c r="B89" s="4" t="n"/>
      <c r="C89" s="8">
        <f>IF(B89="","",IFERROR(XLOOKUP(B89,tblXarajatTurlari[Kod],tblXarajatTurlari[Nomi]),"?"))</f>
        <v/>
      </c>
      <c r="D89" s="5" t="n"/>
      <c r="E89" s="4" t="n"/>
    </row>
    <row r="90">
      <c r="A90" s="7">
        <f>IF(OR(B90&lt;&gt;"",D90&gt;0),TODAY(),"")</f>
        <v/>
      </c>
      <c r="B90" s="4" t="n"/>
      <c r="C90" s="8">
        <f>IF(B90="","",IFERROR(XLOOKUP(B90,tblXarajatTurlari[Kod],tblXarajatTurlari[Nomi]),"?"))</f>
        <v/>
      </c>
      <c r="D90" s="5" t="n"/>
      <c r="E90" s="4" t="n"/>
    </row>
    <row r="91">
      <c r="A91" s="7">
        <f>IF(OR(B91&lt;&gt;"",D91&gt;0),TODAY(),"")</f>
        <v/>
      </c>
      <c r="B91" s="4" t="n"/>
      <c r="C91" s="8">
        <f>IF(B91="","",IFERROR(XLOOKUP(B91,tblXarajatTurlari[Kod],tblXarajatTurlari[Nomi]),"?"))</f>
        <v/>
      </c>
      <c r="D91" s="5" t="n"/>
      <c r="E91" s="4" t="n"/>
    </row>
    <row r="92">
      <c r="A92" s="7">
        <f>IF(OR(B92&lt;&gt;"",D92&gt;0),TODAY(),"")</f>
        <v/>
      </c>
      <c r="B92" s="4" t="n"/>
      <c r="C92" s="8">
        <f>IF(B92="","",IFERROR(XLOOKUP(B92,tblXarajatTurlari[Kod],tblXarajatTurlari[Nomi]),"?"))</f>
        <v/>
      </c>
      <c r="D92" s="5" t="n"/>
      <c r="E92" s="4" t="n"/>
    </row>
    <row r="93">
      <c r="A93" s="7">
        <f>IF(OR(B93&lt;&gt;"",D93&gt;0),TODAY(),"")</f>
        <v/>
      </c>
      <c r="B93" s="4" t="n"/>
      <c r="C93" s="8">
        <f>IF(B93="","",IFERROR(XLOOKUP(B93,tblXarajatTurlari[Kod],tblXarajatTurlari[Nomi]),"?"))</f>
        <v/>
      </c>
      <c r="D93" s="5" t="n"/>
      <c r="E93" s="4" t="n"/>
    </row>
    <row r="94">
      <c r="A94" s="7">
        <f>IF(OR(B94&lt;&gt;"",D94&gt;0),TODAY(),"")</f>
        <v/>
      </c>
      <c r="B94" s="4" t="n"/>
      <c r="C94" s="8">
        <f>IF(B94="","",IFERROR(XLOOKUP(B94,tblXarajatTurlari[Kod],tblXarajatTurlari[Nomi]),"?"))</f>
        <v/>
      </c>
      <c r="D94" s="5" t="n"/>
      <c r="E94" s="4" t="n"/>
    </row>
    <row r="95">
      <c r="A95" s="7">
        <f>IF(OR(B95&lt;&gt;"",D95&gt;0),TODAY(),"")</f>
        <v/>
      </c>
      <c r="B95" s="4" t="n"/>
      <c r="C95" s="8">
        <f>IF(B95="","",IFERROR(XLOOKUP(B95,tblXarajatTurlari[Kod],tblXarajatTurlari[Nomi]),"?"))</f>
        <v/>
      </c>
      <c r="D95" s="5" t="n"/>
      <c r="E95" s="4" t="n"/>
    </row>
    <row r="96">
      <c r="A96" s="7">
        <f>IF(OR(B96&lt;&gt;"",D96&gt;0),TODAY(),"")</f>
        <v/>
      </c>
      <c r="B96" s="4" t="n"/>
      <c r="C96" s="8">
        <f>IF(B96="","",IFERROR(XLOOKUP(B96,tblXarajatTurlari[Kod],tblXarajatTurlari[Nomi]),"?"))</f>
        <v/>
      </c>
      <c r="D96" s="5" t="n"/>
      <c r="E96" s="4" t="n"/>
    </row>
    <row r="97">
      <c r="A97" s="7">
        <f>IF(OR(B97&lt;&gt;"",D97&gt;0),TODAY(),"")</f>
        <v/>
      </c>
      <c r="B97" s="4" t="n"/>
      <c r="C97" s="8">
        <f>IF(B97="","",IFERROR(XLOOKUP(B97,tblXarajatTurlari[Kod],tblXarajatTurlari[Nomi]),"?"))</f>
        <v/>
      </c>
      <c r="D97" s="5" t="n"/>
      <c r="E97" s="4" t="n"/>
    </row>
    <row r="98">
      <c r="A98" s="7">
        <f>IF(OR(B98&lt;&gt;"",D98&gt;0),TODAY(),"")</f>
        <v/>
      </c>
      <c r="B98" s="4" t="n"/>
      <c r="C98" s="8">
        <f>IF(B98="","",IFERROR(XLOOKUP(B98,tblXarajatTurlari[Kod],tblXarajatTurlari[Nomi]),"?"))</f>
        <v/>
      </c>
      <c r="D98" s="5" t="n"/>
      <c r="E98" s="4" t="n"/>
    </row>
    <row r="99">
      <c r="A99" s="7">
        <f>IF(OR(B99&lt;&gt;"",D99&gt;0),TODAY(),"")</f>
        <v/>
      </c>
      <c r="B99" s="4" t="n"/>
      <c r="C99" s="8">
        <f>IF(B99="","",IFERROR(XLOOKUP(B99,tblXarajatTurlari[Kod],tblXarajatTurlari[Nomi]),"?"))</f>
        <v/>
      </c>
      <c r="D99" s="5" t="n"/>
      <c r="E99" s="4" t="n"/>
    </row>
    <row r="100">
      <c r="A100" s="7">
        <f>IF(OR(B100&lt;&gt;"",D100&gt;0),TODAY(),"")</f>
        <v/>
      </c>
      <c r="B100" s="4" t="n"/>
      <c r="C100" s="8">
        <f>IF(B100="","",IFERROR(XLOOKUP(B100,tblXarajatTurlari[Kod],tblXarajatTurlari[Nomi]),"?"))</f>
        <v/>
      </c>
      <c r="D100" s="5" t="n"/>
      <c r="E100" s="4" t="n"/>
    </row>
    <row r="101">
      <c r="A101" s="7">
        <f>IF(OR(B101&lt;&gt;"",D101&gt;0),TODAY(),"")</f>
        <v/>
      </c>
      <c r="B101" s="4" t="n"/>
      <c r="C101" s="8">
        <f>IF(B101="","",IFERROR(XLOOKUP(B101,tblXarajatTurlari[Kod],tblXarajatTurlari[Nomi]),"?"))</f>
        <v/>
      </c>
      <c r="D101" s="5" t="n"/>
      <c r="E101" s="4" t="n"/>
    </row>
    <row r="102">
      <c r="A102" s="7">
        <f>IF(OR(B102&lt;&gt;"",D102&gt;0),TODAY(),"")</f>
        <v/>
      </c>
      <c r="B102" s="4" t="n"/>
      <c r="C102" s="8">
        <f>IF(B102="","",IFERROR(XLOOKUP(B102,tblXarajatTurlari[Kod],tblXarajatTurlari[Nomi]),"?"))</f>
        <v/>
      </c>
      <c r="D102" s="5" t="n"/>
      <c r="E102" s="4" t="n"/>
    </row>
    <row r="103">
      <c r="A103" s="7">
        <f>IF(OR(B103&lt;&gt;"",D103&gt;0),TODAY(),"")</f>
        <v/>
      </c>
      <c r="B103" s="4" t="n"/>
      <c r="C103" s="8">
        <f>IF(B103="","",IFERROR(XLOOKUP(B103,tblXarajatTurlari[Kod],tblXarajatTurlari[Nomi]),"?"))</f>
        <v/>
      </c>
      <c r="D103" s="5" t="n"/>
      <c r="E103" s="4" t="n"/>
    </row>
    <row r="104">
      <c r="A104" s="7">
        <f>IF(OR(B104&lt;&gt;"",D104&gt;0),TODAY(),"")</f>
        <v/>
      </c>
      <c r="B104" s="4" t="n"/>
      <c r="C104" s="8">
        <f>IF(B104="","",IFERROR(XLOOKUP(B104,tblXarajatTurlari[Kod],tblXarajatTurlari[Nomi]),"?"))</f>
        <v/>
      </c>
      <c r="D104" s="5" t="n"/>
      <c r="E104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0" customWidth="1" min="4" max="4"/>
    <col width="18" customWidth="1" min="5" max="5"/>
  </cols>
  <sheetData>
    <row r="1">
      <c r="A1" s="1" t="inlineStr">
        <is>
          <t>Tovarga pul (batafsil)</t>
        </is>
      </c>
    </row>
    <row r="2">
      <c r="A2" s="2" t="inlineStr">
        <is>
          <t>Yetkazuvchi KOD + summa yozing (masalan: JA va 600000). Sana va yetkazuvchi nomi avtomatik.</t>
        </is>
      </c>
    </row>
    <row r="3"/>
    <row r="4" ht="30" customHeight="1">
      <c r="A4" s="3" t="inlineStr">
        <is>
          <t>Sana</t>
        </is>
      </c>
      <c r="B4" s="3" t="inlineStr">
        <is>
          <t>Kod</t>
        </is>
      </c>
      <c r="C4" s="3" t="inlineStr">
        <is>
          <t>Yetkazuvchi</t>
        </is>
      </c>
      <c r="D4" s="3" t="inlineStr">
        <is>
          <t>Summa</t>
        </is>
      </c>
      <c r="E4" s="3" t="inlineStr">
        <is>
          <t>Izoh</t>
        </is>
      </c>
    </row>
    <row r="5">
      <c r="A5" s="7" t="n">
        <v>46235</v>
      </c>
      <c r="B5" s="4" t="inlineStr">
        <is>
          <t>JA</t>
        </is>
      </c>
      <c r="C5" s="8">
        <f>IF(B5="","",IFERROR(XLOOKUP(B5,tblYetkazuvchilar[Kod],tblYetkazuvchilar[Ism]),"?"))</f>
        <v/>
      </c>
      <c r="D5" s="5" t="n">
        <v>450000</v>
      </c>
      <c r="E5" s="4" t="inlineStr">
        <is>
          <t>Kartoshka, piyoz</t>
        </is>
      </c>
    </row>
    <row r="6">
      <c r="A6" s="7" t="n">
        <v>46237</v>
      </c>
      <c r="B6" s="4" t="inlineStr">
        <is>
          <t>BAZAR</t>
        </is>
      </c>
      <c r="C6" s="8">
        <f>IF(B6="","",IFERROR(XLOOKUP(B6,tblYetkazuvchilar[Kod],tblYetkazuvchilar[Ism]),"?"))</f>
        <v/>
      </c>
      <c r="D6" s="5" t="n">
        <v>200000</v>
      </c>
      <c r="E6" s="4" t="inlineStr">
        <is>
          <t>Sabzavot</t>
        </is>
      </c>
    </row>
    <row r="7">
      <c r="A7" s="7">
        <f>IF(OR(B7&lt;&gt;"",D7&gt;0),TODAY(),"")</f>
        <v/>
      </c>
      <c r="B7" s="4" t="n"/>
      <c r="C7" s="8">
        <f>IF(B7="","",IFERROR(XLOOKUP(B7,tblYetkazuvchilar[Kod],tblYetkazuvchilar[Ism]),"?"))</f>
        <v/>
      </c>
      <c r="D7" s="5" t="n"/>
      <c r="E7" s="4" t="n"/>
    </row>
    <row r="8">
      <c r="A8" s="7">
        <f>IF(OR(B8&lt;&gt;"",D8&gt;0),TODAY(),"")</f>
        <v/>
      </c>
      <c r="B8" s="4" t="n"/>
      <c r="C8" s="8">
        <f>IF(B8="","",IFERROR(XLOOKUP(B8,tblYetkazuvchilar[Kod],tblYetkazuvchilar[Ism]),"?"))</f>
        <v/>
      </c>
      <c r="D8" s="5" t="n"/>
      <c r="E8" s="4" t="n"/>
    </row>
    <row r="9">
      <c r="A9" s="7">
        <f>IF(OR(B9&lt;&gt;"",D9&gt;0),TODAY(),"")</f>
        <v/>
      </c>
      <c r="B9" s="4" t="n"/>
      <c r="C9" s="8">
        <f>IF(B9="","",IFERROR(XLOOKUP(B9,tblYetkazuvchilar[Kod],tblYetkazuvchilar[Ism]),"?"))</f>
        <v/>
      </c>
      <c r="D9" s="5" t="n"/>
      <c r="E9" s="4" t="n"/>
    </row>
    <row r="10">
      <c r="A10" s="7">
        <f>IF(OR(B10&lt;&gt;"",D10&gt;0),TODAY(),"")</f>
        <v/>
      </c>
      <c r="B10" s="4" t="n"/>
      <c r="C10" s="8">
        <f>IF(B10="","",IFERROR(XLOOKUP(B10,tblYetkazuvchilar[Kod],tblYetkazuvchilar[Ism]),"?"))</f>
        <v/>
      </c>
      <c r="D10" s="5" t="n"/>
      <c r="E10" s="4" t="n"/>
    </row>
    <row r="11">
      <c r="A11" s="7">
        <f>IF(OR(B11&lt;&gt;"",D11&gt;0),TODAY(),"")</f>
        <v/>
      </c>
      <c r="B11" s="4" t="n"/>
      <c r="C11" s="8">
        <f>IF(B11="","",IFERROR(XLOOKUP(B11,tblYetkazuvchilar[Kod],tblYetkazuvchilar[Ism]),"?"))</f>
        <v/>
      </c>
      <c r="D11" s="5" t="n"/>
      <c r="E11" s="4" t="n"/>
    </row>
    <row r="12">
      <c r="A12" s="7">
        <f>IF(OR(B12&lt;&gt;"",D12&gt;0),TODAY(),"")</f>
        <v/>
      </c>
      <c r="B12" s="4" t="n"/>
      <c r="C12" s="8">
        <f>IF(B12="","",IFERROR(XLOOKUP(B12,tblYetkazuvchilar[Kod],tblYetkazuvchilar[Ism]),"?"))</f>
        <v/>
      </c>
      <c r="D12" s="5" t="n"/>
      <c r="E12" s="4" t="n"/>
    </row>
    <row r="13">
      <c r="A13" s="7">
        <f>IF(OR(B13&lt;&gt;"",D13&gt;0),TODAY(),"")</f>
        <v/>
      </c>
      <c r="B13" s="4" t="n"/>
      <c r="C13" s="8">
        <f>IF(B13="","",IFERROR(XLOOKUP(B13,tblYetkazuvchilar[Kod],tblYetkazuvchilar[Ism]),"?"))</f>
        <v/>
      </c>
      <c r="D13" s="5" t="n"/>
      <c r="E13" s="4" t="n"/>
    </row>
    <row r="14">
      <c r="A14" s="7">
        <f>IF(OR(B14&lt;&gt;"",D14&gt;0),TODAY(),"")</f>
        <v/>
      </c>
      <c r="B14" s="4" t="n"/>
      <c r="C14" s="8">
        <f>IF(B14="","",IFERROR(XLOOKUP(B14,tblYetkazuvchilar[Kod],tblYetkazuvchilar[Ism]),"?"))</f>
        <v/>
      </c>
      <c r="D14" s="5" t="n"/>
      <c r="E14" s="4" t="n"/>
    </row>
    <row r="15">
      <c r="A15" s="7">
        <f>IF(OR(B15&lt;&gt;"",D15&gt;0),TODAY(),"")</f>
        <v/>
      </c>
      <c r="B15" s="4" t="n"/>
      <c r="C15" s="8">
        <f>IF(B15="","",IFERROR(XLOOKUP(B15,tblYetkazuvchilar[Kod],tblYetkazuvchilar[Ism]),"?"))</f>
        <v/>
      </c>
      <c r="D15" s="5" t="n"/>
      <c r="E15" s="4" t="n"/>
    </row>
    <row r="16">
      <c r="A16" s="7">
        <f>IF(OR(B16&lt;&gt;"",D16&gt;0),TODAY(),"")</f>
        <v/>
      </c>
      <c r="B16" s="4" t="n"/>
      <c r="C16" s="8">
        <f>IF(B16="","",IFERROR(XLOOKUP(B16,tblYetkazuvchilar[Kod],tblYetkazuvchilar[Ism]),"?"))</f>
        <v/>
      </c>
      <c r="D16" s="5" t="n"/>
      <c r="E16" s="4" t="n"/>
    </row>
    <row r="17">
      <c r="A17" s="7">
        <f>IF(OR(B17&lt;&gt;"",D17&gt;0),TODAY(),"")</f>
        <v/>
      </c>
      <c r="B17" s="4" t="n"/>
      <c r="C17" s="8">
        <f>IF(B17="","",IFERROR(XLOOKUP(B17,tblYetkazuvchilar[Kod],tblYetkazuvchilar[Ism]),"?"))</f>
        <v/>
      </c>
      <c r="D17" s="5" t="n"/>
      <c r="E17" s="4" t="n"/>
    </row>
    <row r="18">
      <c r="A18" s="7">
        <f>IF(OR(B18&lt;&gt;"",D18&gt;0),TODAY(),"")</f>
        <v/>
      </c>
      <c r="B18" s="4" t="n"/>
      <c r="C18" s="8">
        <f>IF(B18="","",IFERROR(XLOOKUP(B18,tblYetkazuvchilar[Kod],tblYetkazuvchilar[Ism]),"?"))</f>
        <v/>
      </c>
      <c r="D18" s="5" t="n"/>
      <c r="E18" s="4" t="n"/>
    </row>
    <row r="19">
      <c r="A19" s="7">
        <f>IF(OR(B19&lt;&gt;"",D19&gt;0),TODAY(),"")</f>
        <v/>
      </c>
      <c r="B19" s="4" t="n"/>
      <c r="C19" s="8">
        <f>IF(B19="","",IFERROR(XLOOKUP(B19,tblYetkazuvchilar[Kod],tblYetkazuvchilar[Ism]),"?"))</f>
        <v/>
      </c>
      <c r="D19" s="5" t="n"/>
      <c r="E19" s="4" t="n"/>
    </row>
    <row r="20">
      <c r="A20" s="7">
        <f>IF(OR(B20&lt;&gt;"",D20&gt;0),TODAY(),"")</f>
        <v/>
      </c>
      <c r="B20" s="4" t="n"/>
      <c r="C20" s="8">
        <f>IF(B20="","",IFERROR(XLOOKUP(B20,tblYetkazuvchilar[Kod],tblYetkazuvchilar[Ism]),"?"))</f>
        <v/>
      </c>
      <c r="D20" s="5" t="n"/>
      <c r="E20" s="4" t="n"/>
    </row>
    <row r="21">
      <c r="A21" s="7">
        <f>IF(OR(B21&lt;&gt;"",D21&gt;0),TODAY(),"")</f>
        <v/>
      </c>
      <c r="B21" s="4" t="n"/>
      <c r="C21" s="8">
        <f>IF(B21="","",IFERROR(XLOOKUP(B21,tblYetkazuvchilar[Kod],tblYetkazuvchilar[Ism]),"?"))</f>
        <v/>
      </c>
      <c r="D21" s="5" t="n"/>
      <c r="E21" s="4" t="n"/>
    </row>
    <row r="22">
      <c r="A22" s="7">
        <f>IF(OR(B22&lt;&gt;"",D22&gt;0),TODAY(),"")</f>
        <v/>
      </c>
      <c r="B22" s="4" t="n"/>
      <c r="C22" s="8">
        <f>IF(B22="","",IFERROR(XLOOKUP(B22,tblYetkazuvchilar[Kod],tblYetkazuvchilar[Ism]),"?"))</f>
        <v/>
      </c>
      <c r="D22" s="5" t="n"/>
      <c r="E22" s="4" t="n"/>
    </row>
    <row r="23">
      <c r="A23" s="7">
        <f>IF(OR(B23&lt;&gt;"",D23&gt;0),TODAY(),"")</f>
        <v/>
      </c>
      <c r="B23" s="4" t="n"/>
      <c r="C23" s="8">
        <f>IF(B23="","",IFERROR(XLOOKUP(B23,tblYetkazuvchilar[Kod],tblYetkazuvchilar[Ism]),"?"))</f>
        <v/>
      </c>
      <c r="D23" s="5" t="n"/>
      <c r="E23" s="4" t="n"/>
    </row>
    <row r="24">
      <c r="A24" s="7">
        <f>IF(OR(B24&lt;&gt;"",D24&gt;0),TODAY(),"")</f>
        <v/>
      </c>
      <c r="B24" s="4" t="n"/>
      <c r="C24" s="8">
        <f>IF(B24="","",IFERROR(XLOOKUP(B24,tblYetkazuvchilar[Kod],tblYetkazuvchilar[Ism]),"?"))</f>
        <v/>
      </c>
      <c r="D24" s="5" t="n"/>
      <c r="E24" s="4" t="n"/>
    </row>
    <row r="25">
      <c r="A25" s="7">
        <f>IF(OR(B25&lt;&gt;"",D25&gt;0),TODAY(),"")</f>
        <v/>
      </c>
      <c r="B25" s="4" t="n"/>
      <c r="C25" s="8">
        <f>IF(B25="","",IFERROR(XLOOKUP(B25,tblYetkazuvchilar[Kod],tblYetkazuvchilar[Ism]),"?"))</f>
        <v/>
      </c>
      <c r="D25" s="5" t="n"/>
      <c r="E25" s="4" t="n"/>
    </row>
    <row r="26">
      <c r="A26" s="7">
        <f>IF(OR(B26&lt;&gt;"",D26&gt;0),TODAY(),"")</f>
        <v/>
      </c>
      <c r="B26" s="4" t="n"/>
      <c r="C26" s="8">
        <f>IF(B26="","",IFERROR(XLOOKUP(B26,tblYetkazuvchilar[Kod],tblYetkazuvchilar[Ism]),"?"))</f>
        <v/>
      </c>
      <c r="D26" s="5" t="n"/>
      <c r="E26" s="4" t="n"/>
    </row>
    <row r="27">
      <c r="A27" s="7">
        <f>IF(OR(B27&lt;&gt;"",D27&gt;0),TODAY(),"")</f>
        <v/>
      </c>
      <c r="B27" s="4" t="n"/>
      <c r="C27" s="8">
        <f>IF(B27="","",IFERROR(XLOOKUP(B27,tblYetkazuvchilar[Kod],tblYetkazuvchilar[Ism]),"?"))</f>
        <v/>
      </c>
      <c r="D27" s="5" t="n"/>
      <c r="E27" s="4" t="n"/>
    </row>
    <row r="28">
      <c r="A28" s="7">
        <f>IF(OR(B28&lt;&gt;"",D28&gt;0),TODAY(),"")</f>
        <v/>
      </c>
      <c r="B28" s="4" t="n"/>
      <c r="C28" s="8">
        <f>IF(B28="","",IFERROR(XLOOKUP(B28,tblYetkazuvchilar[Kod],tblYetkazuvchilar[Ism]),"?"))</f>
        <v/>
      </c>
      <c r="D28" s="5" t="n"/>
      <c r="E28" s="4" t="n"/>
    </row>
    <row r="29">
      <c r="A29" s="7">
        <f>IF(OR(B29&lt;&gt;"",D29&gt;0),TODAY(),"")</f>
        <v/>
      </c>
      <c r="B29" s="4" t="n"/>
      <c r="C29" s="8">
        <f>IF(B29="","",IFERROR(XLOOKUP(B29,tblYetkazuvchilar[Kod],tblYetkazuvchilar[Ism]),"?"))</f>
        <v/>
      </c>
      <c r="D29" s="5" t="n"/>
      <c r="E29" s="4" t="n"/>
    </row>
    <row r="30">
      <c r="A30" s="7">
        <f>IF(OR(B30&lt;&gt;"",D30&gt;0),TODAY(),"")</f>
        <v/>
      </c>
      <c r="B30" s="4" t="n"/>
      <c r="C30" s="8">
        <f>IF(B30="","",IFERROR(XLOOKUP(B30,tblYetkazuvchilar[Kod],tblYetkazuvchilar[Ism]),"?"))</f>
        <v/>
      </c>
      <c r="D30" s="5" t="n"/>
      <c r="E30" s="4" t="n"/>
    </row>
    <row r="31">
      <c r="A31" s="7">
        <f>IF(OR(B31&lt;&gt;"",D31&gt;0),TODAY(),"")</f>
        <v/>
      </c>
      <c r="B31" s="4" t="n"/>
      <c r="C31" s="8">
        <f>IF(B31="","",IFERROR(XLOOKUP(B31,tblYetkazuvchilar[Kod],tblYetkazuvchilar[Ism]),"?"))</f>
        <v/>
      </c>
      <c r="D31" s="5" t="n"/>
      <c r="E31" s="4" t="n"/>
    </row>
    <row r="32">
      <c r="A32" s="7">
        <f>IF(OR(B32&lt;&gt;"",D32&gt;0),TODAY(),"")</f>
        <v/>
      </c>
      <c r="B32" s="4" t="n"/>
      <c r="C32" s="8">
        <f>IF(B32="","",IFERROR(XLOOKUP(B32,tblYetkazuvchilar[Kod],tblYetkazuvchilar[Ism]),"?"))</f>
        <v/>
      </c>
      <c r="D32" s="5" t="n"/>
      <c r="E32" s="4" t="n"/>
    </row>
    <row r="33">
      <c r="A33" s="7">
        <f>IF(OR(B33&lt;&gt;"",D33&gt;0),TODAY(),"")</f>
        <v/>
      </c>
      <c r="B33" s="4" t="n"/>
      <c r="C33" s="8">
        <f>IF(B33="","",IFERROR(XLOOKUP(B33,tblYetkazuvchilar[Kod],tblYetkazuvchilar[Ism]),"?"))</f>
        <v/>
      </c>
      <c r="D33" s="5" t="n"/>
      <c r="E33" s="4" t="n"/>
    </row>
    <row r="34">
      <c r="A34" s="7">
        <f>IF(OR(B34&lt;&gt;"",D34&gt;0),TODAY(),"")</f>
        <v/>
      </c>
      <c r="B34" s="4" t="n"/>
      <c r="C34" s="8">
        <f>IF(B34="","",IFERROR(XLOOKUP(B34,tblYetkazuvchilar[Kod],tblYetkazuvchilar[Ism]),"?"))</f>
        <v/>
      </c>
      <c r="D34" s="5" t="n"/>
      <c r="E34" s="4" t="n"/>
    </row>
    <row r="35">
      <c r="A35" s="7">
        <f>IF(OR(B35&lt;&gt;"",D35&gt;0),TODAY(),"")</f>
        <v/>
      </c>
      <c r="B35" s="4" t="n"/>
      <c r="C35" s="8">
        <f>IF(B35="","",IFERROR(XLOOKUP(B35,tblYetkazuvchilar[Kod],tblYetkazuvchilar[Ism]),"?"))</f>
        <v/>
      </c>
      <c r="D35" s="5" t="n"/>
      <c r="E35" s="4" t="n"/>
    </row>
    <row r="36">
      <c r="A36" s="7">
        <f>IF(OR(B36&lt;&gt;"",D36&gt;0),TODAY(),"")</f>
        <v/>
      </c>
      <c r="B36" s="4" t="n"/>
      <c r="C36" s="8">
        <f>IF(B36="","",IFERROR(XLOOKUP(B36,tblYetkazuvchilar[Kod],tblYetkazuvchilar[Ism]),"?"))</f>
        <v/>
      </c>
      <c r="D36" s="5" t="n"/>
      <c r="E36" s="4" t="n"/>
    </row>
    <row r="37">
      <c r="A37" s="7">
        <f>IF(OR(B37&lt;&gt;"",D37&gt;0),TODAY(),"")</f>
        <v/>
      </c>
      <c r="B37" s="4" t="n"/>
      <c r="C37" s="8">
        <f>IF(B37="","",IFERROR(XLOOKUP(B37,tblYetkazuvchilar[Kod],tblYetkazuvchilar[Ism]),"?"))</f>
        <v/>
      </c>
      <c r="D37" s="5" t="n"/>
      <c r="E37" s="4" t="n"/>
    </row>
    <row r="38">
      <c r="A38" s="7">
        <f>IF(OR(B38&lt;&gt;"",D38&gt;0),TODAY(),"")</f>
        <v/>
      </c>
      <c r="B38" s="4" t="n"/>
      <c r="C38" s="8">
        <f>IF(B38="","",IFERROR(XLOOKUP(B38,tblYetkazuvchilar[Kod],tblYetkazuvchilar[Ism]),"?"))</f>
        <v/>
      </c>
      <c r="D38" s="5" t="n"/>
      <c r="E38" s="4" t="n"/>
    </row>
    <row r="39">
      <c r="A39" s="7">
        <f>IF(OR(B39&lt;&gt;"",D39&gt;0),TODAY(),"")</f>
        <v/>
      </c>
      <c r="B39" s="4" t="n"/>
      <c r="C39" s="8">
        <f>IF(B39="","",IFERROR(XLOOKUP(B39,tblYetkazuvchilar[Kod],tblYetkazuvchilar[Ism]),"?"))</f>
        <v/>
      </c>
      <c r="D39" s="5" t="n"/>
      <c r="E39" s="4" t="n"/>
    </row>
    <row r="40">
      <c r="A40" s="7">
        <f>IF(OR(B40&lt;&gt;"",D40&gt;0),TODAY(),"")</f>
        <v/>
      </c>
      <c r="B40" s="4" t="n"/>
      <c r="C40" s="8">
        <f>IF(B40="","",IFERROR(XLOOKUP(B40,tblYetkazuvchilar[Kod],tblYetkazuvchilar[Ism]),"?"))</f>
        <v/>
      </c>
      <c r="D40" s="5" t="n"/>
      <c r="E40" s="4" t="n"/>
    </row>
    <row r="41">
      <c r="A41" s="7">
        <f>IF(OR(B41&lt;&gt;"",D41&gt;0),TODAY(),"")</f>
        <v/>
      </c>
      <c r="B41" s="4" t="n"/>
      <c r="C41" s="8">
        <f>IF(B41="","",IFERROR(XLOOKUP(B41,tblYetkazuvchilar[Kod],tblYetkazuvchilar[Ism]),"?"))</f>
        <v/>
      </c>
      <c r="D41" s="5" t="n"/>
      <c r="E41" s="4" t="n"/>
    </row>
    <row r="42">
      <c r="A42" s="7">
        <f>IF(OR(B42&lt;&gt;"",D42&gt;0),TODAY(),"")</f>
        <v/>
      </c>
      <c r="B42" s="4" t="n"/>
      <c r="C42" s="8">
        <f>IF(B42="","",IFERROR(XLOOKUP(B42,tblYetkazuvchilar[Kod],tblYetkazuvchilar[Ism]),"?"))</f>
        <v/>
      </c>
      <c r="D42" s="5" t="n"/>
      <c r="E42" s="4" t="n"/>
    </row>
    <row r="43">
      <c r="A43" s="7">
        <f>IF(OR(B43&lt;&gt;"",D43&gt;0),TODAY(),"")</f>
        <v/>
      </c>
      <c r="B43" s="4" t="n"/>
      <c r="C43" s="8">
        <f>IF(B43="","",IFERROR(XLOOKUP(B43,tblYetkazuvchilar[Kod],tblYetkazuvchilar[Ism]),"?"))</f>
        <v/>
      </c>
      <c r="D43" s="5" t="n"/>
      <c r="E43" s="4" t="n"/>
    </row>
    <row r="44">
      <c r="A44" s="7">
        <f>IF(OR(B44&lt;&gt;"",D44&gt;0),TODAY(),"")</f>
        <v/>
      </c>
      <c r="B44" s="4" t="n"/>
      <c r="C44" s="8">
        <f>IF(B44="","",IFERROR(XLOOKUP(B44,tblYetkazuvchilar[Kod],tblYetkazuvchilar[Ism]),"?"))</f>
        <v/>
      </c>
      <c r="D44" s="5" t="n"/>
      <c r="E44" s="4" t="n"/>
    </row>
    <row r="45">
      <c r="A45" s="7">
        <f>IF(OR(B45&lt;&gt;"",D45&gt;0),TODAY(),"")</f>
        <v/>
      </c>
      <c r="B45" s="4" t="n"/>
      <c r="C45" s="8">
        <f>IF(B45="","",IFERROR(XLOOKUP(B45,tblYetkazuvchilar[Kod],tblYetkazuvchilar[Ism]),"?"))</f>
        <v/>
      </c>
      <c r="D45" s="5" t="n"/>
      <c r="E45" s="4" t="n"/>
    </row>
    <row r="46">
      <c r="A46" s="7">
        <f>IF(OR(B46&lt;&gt;"",D46&gt;0),TODAY(),"")</f>
        <v/>
      </c>
      <c r="B46" s="4" t="n"/>
      <c r="C46" s="8">
        <f>IF(B46="","",IFERROR(XLOOKUP(B46,tblYetkazuvchilar[Kod],tblYetkazuvchilar[Ism]),"?"))</f>
        <v/>
      </c>
      <c r="D46" s="5" t="n"/>
      <c r="E46" s="4" t="n"/>
    </row>
    <row r="47">
      <c r="A47" s="7">
        <f>IF(OR(B47&lt;&gt;"",D47&gt;0),TODAY(),"")</f>
        <v/>
      </c>
      <c r="B47" s="4" t="n"/>
      <c r="C47" s="8">
        <f>IF(B47="","",IFERROR(XLOOKUP(B47,tblYetkazuvchilar[Kod],tblYetkazuvchilar[Ism]),"?"))</f>
        <v/>
      </c>
      <c r="D47" s="5" t="n"/>
      <c r="E47" s="4" t="n"/>
    </row>
    <row r="48">
      <c r="A48" s="7">
        <f>IF(OR(B48&lt;&gt;"",D48&gt;0),TODAY(),"")</f>
        <v/>
      </c>
      <c r="B48" s="4" t="n"/>
      <c r="C48" s="8">
        <f>IF(B48="","",IFERROR(XLOOKUP(B48,tblYetkazuvchilar[Kod],tblYetkazuvchilar[Ism]),"?"))</f>
        <v/>
      </c>
      <c r="D48" s="5" t="n"/>
      <c r="E48" s="4" t="n"/>
    </row>
    <row r="49">
      <c r="A49" s="7">
        <f>IF(OR(B49&lt;&gt;"",D49&gt;0),TODAY(),"")</f>
        <v/>
      </c>
      <c r="B49" s="4" t="n"/>
      <c r="C49" s="8">
        <f>IF(B49="","",IFERROR(XLOOKUP(B49,tblYetkazuvchilar[Kod],tblYetkazuvchilar[Ism]),"?"))</f>
        <v/>
      </c>
      <c r="D49" s="5" t="n"/>
      <c r="E49" s="4" t="n"/>
    </row>
    <row r="50">
      <c r="A50" s="7">
        <f>IF(OR(B50&lt;&gt;"",D50&gt;0),TODAY(),"")</f>
        <v/>
      </c>
      <c r="B50" s="4" t="n"/>
      <c r="C50" s="8">
        <f>IF(B50="","",IFERROR(XLOOKUP(B50,tblYetkazuvchilar[Kod],tblYetkazuvchilar[Ism]),"?"))</f>
        <v/>
      </c>
      <c r="D50" s="5" t="n"/>
      <c r="E50" s="4" t="n"/>
    </row>
    <row r="51">
      <c r="A51" s="7">
        <f>IF(OR(B51&lt;&gt;"",D51&gt;0),TODAY(),"")</f>
        <v/>
      </c>
      <c r="B51" s="4" t="n"/>
      <c r="C51" s="8">
        <f>IF(B51="","",IFERROR(XLOOKUP(B51,tblYetkazuvchilar[Kod],tblYetkazuvchilar[Ism]),"?"))</f>
        <v/>
      </c>
      <c r="D51" s="5" t="n"/>
      <c r="E51" s="4" t="n"/>
    </row>
    <row r="52">
      <c r="A52" s="7">
        <f>IF(OR(B52&lt;&gt;"",D52&gt;0),TODAY(),"")</f>
        <v/>
      </c>
      <c r="B52" s="4" t="n"/>
      <c r="C52" s="8">
        <f>IF(B52="","",IFERROR(XLOOKUP(B52,tblYetkazuvchilar[Kod],tblYetkazuvchilar[Ism]),"?"))</f>
        <v/>
      </c>
      <c r="D52" s="5" t="n"/>
      <c r="E52" s="4" t="n"/>
    </row>
    <row r="53">
      <c r="A53" s="7">
        <f>IF(OR(B53&lt;&gt;"",D53&gt;0),TODAY(),"")</f>
        <v/>
      </c>
      <c r="B53" s="4" t="n"/>
      <c r="C53" s="8">
        <f>IF(B53="","",IFERROR(XLOOKUP(B53,tblYetkazuvchilar[Kod],tblYetkazuvchilar[Ism]),"?"))</f>
        <v/>
      </c>
      <c r="D53" s="5" t="n"/>
      <c r="E53" s="4" t="n"/>
    </row>
    <row r="54">
      <c r="A54" s="7">
        <f>IF(OR(B54&lt;&gt;"",D54&gt;0),TODAY(),"")</f>
        <v/>
      </c>
      <c r="B54" s="4" t="n"/>
      <c r="C54" s="8">
        <f>IF(B54="","",IFERROR(XLOOKUP(B54,tblYetkazuvchilar[Kod],tblYetkazuvchilar[Ism]),"?"))</f>
        <v/>
      </c>
      <c r="D54" s="5" t="n"/>
      <c r="E54" s="4" t="n"/>
    </row>
    <row r="55">
      <c r="A55" s="7">
        <f>IF(OR(B55&lt;&gt;"",D55&gt;0),TODAY(),"")</f>
        <v/>
      </c>
      <c r="B55" s="4" t="n"/>
      <c r="C55" s="8">
        <f>IF(B55="","",IFERROR(XLOOKUP(B55,tblYetkazuvchilar[Kod],tblYetkazuvchilar[Ism]),"?"))</f>
        <v/>
      </c>
      <c r="D55" s="5" t="n"/>
      <c r="E55" s="4" t="n"/>
    </row>
    <row r="56">
      <c r="A56" s="7">
        <f>IF(OR(B56&lt;&gt;"",D56&gt;0),TODAY(),"")</f>
        <v/>
      </c>
      <c r="B56" s="4" t="n"/>
      <c r="C56" s="8">
        <f>IF(B56="","",IFERROR(XLOOKUP(B56,tblYetkazuvchilar[Kod],tblYetkazuvchilar[Ism]),"?"))</f>
        <v/>
      </c>
      <c r="D56" s="5" t="n"/>
      <c r="E56" s="4" t="n"/>
    </row>
    <row r="57">
      <c r="A57" s="7">
        <f>IF(OR(B57&lt;&gt;"",D57&gt;0),TODAY(),"")</f>
        <v/>
      </c>
      <c r="B57" s="4" t="n"/>
      <c r="C57" s="8">
        <f>IF(B57="","",IFERROR(XLOOKUP(B57,tblYetkazuvchilar[Kod],tblYetkazuvchilar[Ism]),"?"))</f>
        <v/>
      </c>
      <c r="D57" s="5" t="n"/>
      <c r="E57" s="4" t="n"/>
    </row>
    <row r="58">
      <c r="A58" s="7">
        <f>IF(OR(B58&lt;&gt;"",D58&gt;0),TODAY(),"")</f>
        <v/>
      </c>
      <c r="B58" s="4" t="n"/>
      <c r="C58" s="8">
        <f>IF(B58="","",IFERROR(XLOOKUP(B58,tblYetkazuvchilar[Kod],tblYetkazuvchilar[Ism]),"?"))</f>
        <v/>
      </c>
      <c r="D58" s="5" t="n"/>
      <c r="E58" s="4" t="n"/>
    </row>
    <row r="59">
      <c r="A59" s="7">
        <f>IF(OR(B59&lt;&gt;"",D59&gt;0),TODAY(),"")</f>
        <v/>
      </c>
      <c r="B59" s="4" t="n"/>
      <c r="C59" s="8">
        <f>IF(B59="","",IFERROR(XLOOKUP(B59,tblYetkazuvchilar[Kod],tblYetkazuvchilar[Ism]),"?"))</f>
        <v/>
      </c>
      <c r="D59" s="5" t="n"/>
      <c r="E59" s="4" t="n"/>
    </row>
    <row r="60">
      <c r="A60" s="7">
        <f>IF(OR(B60&lt;&gt;"",D60&gt;0),TODAY(),"")</f>
        <v/>
      </c>
      <c r="B60" s="4" t="n"/>
      <c r="C60" s="8">
        <f>IF(B60="","",IFERROR(XLOOKUP(B60,tblYetkazuvchilar[Kod],tblYetkazuvchilar[Ism]),"?"))</f>
        <v/>
      </c>
      <c r="D60" s="5" t="n"/>
      <c r="E60" s="4" t="n"/>
    </row>
    <row r="61">
      <c r="A61" s="7">
        <f>IF(OR(B61&lt;&gt;"",D61&gt;0),TODAY(),"")</f>
        <v/>
      </c>
      <c r="B61" s="4" t="n"/>
      <c r="C61" s="8">
        <f>IF(B61="","",IFERROR(XLOOKUP(B61,tblYetkazuvchilar[Kod],tblYetkazuvchilar[Ism]),"?"))</f>
        <v/>
      </c>
      <c r="D61" s="5" t="n"/>
      <c r="E61" s="4" t="n"/>
    </row>
    <row r="62">
      <c r="A62" s="7">
        <f>IF(OR(B62&lt;&gt;"",D62&gt;0),TODAY(),"")</f>
        <v/>
      </c>
      <c r="B62" s="4" t="n"/>
      <c r="C62" s="8">
        <f>IF(B62="","",IFERROR(XLOOKUP(B62,tblYetkazuvchilar[Kod],tblYetkazuvchilar[Ism]),"?"))</f>
        <v/>
      </c>
      <c r="D62" s="5" t="n"/>
      <c r="E62" s="4" t="n"/>
    </row>
    <row r="63">
      <c r="A63" s="7">
        <f>IF(OR(B63&lt;&gt;"",D63&gt;0),TODAY(),"")</f>
        <v/>
      </c>
      <c r="B63" s="4" t="n"/>
      <c r="C63" s="8">
        <f>IF(B63="","",IFERROR(XLOOKUP(B63,tblYetkazuvchilar[Kod],tblYetkazuvchilar[Ism]),"?"))</f>
        <v/>
      </c>
      <c r="D63" s="5" t="n"/>
      <c r="E63" s="4" t="n"/>
    </row>
    <row r="64">
      <c r="A64" s="7">
        <f>IF(OR(B64&lt;&gt;"",D64&gt;0),TODAY(),"")</f>
        <v/>
      </c>
      <c r="B64" s="4" t="n"/>
      <c r="C64" s="8">
        <f>IF(B64="","",IFERROR(XLOOKUP(B64,tblYetkazuvchilar[Kod],tblYetkazuvchilar[Ism]),"?"))</f>
        <v/>
      </c>
      <c r="D64" s="5" t="n"/>
      <c r="E64" s="4" t="n"/>
    </row>
    <row r="65">
      <c r="A65" s="7">
        <f>IF(OR(B65&lt;&gt;"",D65&gt;0),TODAY(),"")</f>
        <v/>
      </c>
      <c r="B65" s="4" t="n"/>
      <c r="C65" s="8">
        <f>IF(B65="","",IFERROR(XLOOKUP(B65,tblYetkazuvchilar[Kod],tblYetkazuvchilar[Ism]),"?"))</f>
        <v/>
      </c>
      <c r="D65" s="5" t="n"/>
      <c r="E65" s="4" t="n"/>
    </row>
    <row r="66">
      <c r="A66" s="7">
        <f>IF(OR(B66&lt;&gt;"",D66&gt;0),TODAY(),"")</f>
        <v/>
      </c>
      <c r="B66" s="4" t="n"/>
      <c r="C66" s="8">
        <f>IF(B66="","",IFERROR(XLOOKUP(B66,tblYetkazuvchilar[Kod],tblYetkazuvchilar[Ism]),"?"))</f>
        <v/>
      </c>
      <c r="D66" s="5" t="n"/>
      <c r="E66" s="4" t="n"/>
    </row>
    <row r="67">
      <c r="A67" s="7">
        <f>IF(OR(B67&lt;&gt;"",D67&gt;0),TODAY(),"")</f>
        <v/>
      </c>
      <c r="B67" s="4" t="n"/>
      <c r="C67" s="8">
        <f>IF(B67="","",IFERROR(XLOOKUP(B67,tblYetkazuvchilar[Kod],tblYetkazuvchilar[Ism]),"?"))</f>
        <v/>
      </c>
      <c r="D67" s="5" t="n"/>
      <c r="E67" s="4" t="n"/>
    </row>
    <row r="68">
      <c r="A68" s="7">
        <f>IF(OR(B68&lt;&gt;"",D68&gt;0),TODAY(),"")</f>
        <v/>
      </c>
      <c r="B68" s="4" t="n"/>
      <c r="C68" s="8">
        <f>IF(B68="","",IFERROR(XLOOKUP(B68,tblYetkazuvchilar[Kod],tblYetkazuvchilar[Ism]),"?"))</f>
        <v/>
      </c>
      <c r="D68" s="5" t="n"/>
      <c r="E68" s="4" t="n"/>
    </row>
    <row r="69">
      <c r="A69" s="7">
        <f>IF(OR(B69&lt;&gt;"",D69&gt;0),TODAY(),"")</f>
        <v/>
      </c>
      <c r="B69" s="4" t="n"/>
      <c r="C69" s="8">
        <f>IF(B69="","",IFERROR(XLOOKUP(B69,tblYetkazuvchilar[Kod],tblYetkazuvchilar[Ism]),"?"))</f>
        <v/>
      </c>
      <c r="D69" s="5" t="n"/>
      <c r="E69" s="4" t="n"/>
    </row>
    <row r="70">
      <c r="A70" s="7">
        <f>IF(OR(B70&lt;&gt;"",D70&gt;0),TODAY(),"")</f>
        <v/>
      </c>
      <c r="B70" s="4" t="n"/>
      <c r="C70" s="8">
        <f>IF(B70="","",IFERROR(XLOOKUP(B70,tblYetkazuvchilar[Kod],tblYetkazuvchilar[Ism]),"?"))</f>
        <v/>
      </c>
      <c r="D70" s="5" t="n"/>
      <c r="E70" s="4" t="n"/>
    </row>
    <row r="71">
      <c r="A71" s="7">
        <f>IF(OR(B71&lt;&gt;"",D71&gt;0),TODAY(),"")</f>
        <v/>
      </c>
      <c r="B71" s="4" t="n"/>
      <c r="C71" s="8">
        <f>IF(B71="","",IFERROR(XLOOKUP(B71,tblYetkazuvchilar[Kod],tblYetkazuvchilar[Ism]),"?"))</f>
        <v/>
      </c>
      <c r="D71" s="5" t="n"/>
      <c r="E71" s="4" t="n"/>
    </row>
    <row r="72">
      <c r="A72" s="7">
        <f>IF(OR(B72&lt;&gt;"",D72&gt;0),TODAY(),"")</f>
        <v/>
      </c>
      <c r="B72" s="4" t="n"/>
      <c r="C72" s="8">
        <f>IF(B72="","",IFERROR(XLOOKUP(B72,tblYetkazuvchilar[Kod],tblYetkazuvchilar[Ism]),"?"))</f>
        <v/>
      </c>
      <c r="D72" s="5" t="n"/>
      <c r="E72" s="4" t="n"/>
    </row>
    <row r="73">
      <c r="A73" s="7">
        <f>IF(OR(B73&lt;&gt;"",D73&gt;0),TODAY(),"")</f>
        <v/>
      </c>
      <c r="B73" s="4" t="n"/>
      <c r="C73" s="8">
        <f>IF(B73="","",IFERROR(XLOOKUP(B73,tblYetkazuvchilar[Kod],tblYetkazuvchilar[Ism]),"?"))</f>
        <v/>
      </c>
      <c r="D73" s="5" t="n"/>
      <c r="E73" s="4" t="n"/>
    </row>
    <row r="74">
      <c r="A74" s="7">
        <f>IF(OR(B74&lt;&gt;"",D74&gt;0),TODAY(),"")</f>
        <v/>
      </c>
      <c r="B74" s="4" t="n"/>
      <c r="C74" s="8">
        <f>IF(B74="","",IFERROR(XLOOKUP(B74,tblYetkazuvchilar[Kod],tblYetkazuvchilar[Ism]),"?"))</f>
        <v/>
      </c>
      <c r="D74" s="5" t="n"/>
      <c r="E74" s="4" t="n"/>
    </row>
    <row r="75">
      <c r="A75" s="7">
        <f>IF(OR(B75&lt;&gt;"",D75&gt;0),TODAY(),"")</f>
        <v/>
      </c>
      <c r="B75" s="4" t="n"/>
      <c r="C75" s="8">
        <f>IF(B75="","",IFERROR(XLOOKUP(B75,tblYetkazuvchilar[Kod],tblYetkazuvchilar[Ism]),"?"))</f>
        <v/>
      </c>
      <c r="D75" s="5" t="n"/>
      <c r="E75" s="4" t="n"/>
    </row>
    <row r="76">
      <c r="A76" s="7">
        <f>IF(OR(B76&lt;&gt;"",D76&gt;0),TODAY(),"")</f>
        <v/>
      </c>
      <c r="B76" s="4" t="n"/>
      <c r="C76" s="8">
        <f>IF(B76="","",IFERROR(XLOOKUP(B76,tblYetkazuvchilar[Kod],tblYetkazuvchilar[Ism]),"?"))</f>
        <v/>
      </c>
      <c r="D76" s="5" t="n"/>
      <c r="E76" s="4" t="n"/>
    </row>
    <row r="77">
      <c r="A77" s="7">
        <f>IF(OR(B77&lt;&gt;"",D77&gt;0),TODAY(),"")</f>
        <v/>
      </c>
      <c r="B77" s="4" t="n"/>
      <c r="C77" s="8">
        <f>IF(B77="","",IFERROR(XLOOKUP(B77,tblYetkazuvchilar[Kod],tblYetkazuvchilar[Ism]),"?"))</f>
        <v/>
      </c>
      <c r="D77" s="5" t="n"/>
      <c r="E77" s="4" t="n"/>
    </row>
    <row r="78">
      <c r="A78" s="7">
        <f>IF(OR(B78&lt;&gt;"",D78&gt;0),TODAY(),"")</f>
        <v/>
      </c>
      <c r="B78" s="4" t="n"/>
      <c r="C78" s="8">
        <f>IF(B78="","",IFERROR(XLOOKUP(B78,tblYetkazuvchilar[Kod],tblYetkazuvchilar[Ism]),"?"))</f>
        <v/>
      </c>
      <c r="D78" s="5" t="n"/>
      <c r="E78" s="4" t="n"/>
    </row>
    <row r="79">
      <c r="A79" s="7">
        <f>IF(OR(B79&lt;&gt;"",D79&gt;0),TODAY(),"")</f>
        <v/>
      </c>
      <c r="B79" s="4" t="n"/>
      <c r="C79" s="8">
        <f>IF(B79="","",IFERROR(XLOOKUP(B79,tblYetkazuvchilar[Kod],tblYetkazuvchilar[Ism]),"?"))</f>
        <v/>
      </c>
      <c r="D79" s="5" t="n"/>
      <c r="E79" s="4" t="n"/>
    </row>
    <row r="80">
      <c r="A80" s="7">
        <f>IF(OR(B80&lt;&gt;"",D80&gt;0),TODAY(),"")</f>
        <v/>
      </c>
      <c r="B80" s="4" t="n"/>
      <c r="C80" s="8">
        <f>IF(B80="","",IFERROR(XLOOKUP(B80,tblYetkazuvchilar[Kod],tblYetkazuvchilar[Ism]),"?"))</f>
        <v/>
      </c>
      <c r="D80" s="5" t="n"/>
      <c r="E80" s="4" t="n"/>
    </row>
    <row r="81">
      <c r="A81" s="7">
        <f>IF(OR(B81&lt;&gt;"",D81&gt;0),TODAY(),"")</f>
        <v/>
      </c>
      <c r="B81" s="4" t="n"/>
      <c r="C81" s="8">
        <f>IF(B81="","",IFERROR(XLOOKUP(B81,tblYetkazuvchilar[Kod],tblYetkazuvchilar[Ism]),"?"))</f>
        <v/>
      </c>
      <c r="D81" s="5" t="n"/>
      <c r="E81" s="4" t="n"/>
    </row>
    <row r="82">
      <c r="A82" s="7">
        <f>IF(OR(B82&lt;&gt;"",D82&gt;0),TODAY(),"")</f>
        <v/>
      </c>
      <c r="B82" s="4" t="n"/>
      <c r="C82" s="8">
        <f>IF(B82="","",IFERROR(XLOOKUP(B82,tblYetkazuvchilar[Kod],tblYetkazuvchilar[Ism]),"?"))</f>
        <v/>
      </c>
      <c r="D82" s="5" t="n"/>
      <c r="E82" s="4" t="n"/>
    </row>
    <row r="83">
      <c r="A83" s="7">
        <f>IF(OR(B83&lt;&gt;"",D83&gt;0),TODAY(),"")</f>
        <v/>
      </c>
      <c r="B83" s="4" t="n"/>
      <c r="C83" s="8">
        <f>IF(B83="","",IFERROR(XLOOKUP(B83,tblYetkazuvchilar[Kod],tblYetkazuvchilar[Ism]),"?"))</f>
        <v/>
      </c>
      <c r="D83" s="5" t="n"/>
      <c r="E83" s="4" t="n"/>
    </row>
    <row r="84">
      <c r="A84" s="7">
        <f>IF(OR(B84&lt;&gt;"",D84&gt;0),TODAY(),"")</f>
        <v/>
      </c>
      <c r="B84" s="4" t="n"/>
      <c r="C84" s="8">
        <f>IF(B84="","",IFERROR(XLOOKUP(B84,tblYetkazuvchilar[Kod],tblYetkazuvchilar[Ism]),"?"))</f>
        <v/>
      </c>
      <c r="D84" s="5" t="n"/>
      <c r="E84" s="4" t="n"/>
    </row>
    <row r="85">
      <c r="A85" s="7">
        <f>IF(OR(B85&lt;&gt;"",D85&gt;0),TODAY(),"")</f>
        <v/>
      </c>
      <c r="B85" s="4" t="n"/>
      <c r="C85" s="8">
        <f>IF(B85="","",IFERROR(XLOOKUP(B85,tblYetkazuvchilar[Kod],tblYetkazuvchilar[Ism]),"?"))</f>
        <v/>
      </c>
      <c r="D85" s="5" t="n"/>
      <c r="E85" s="4" t="n"/>
    </row>
    <row r="86">
      <c r="A86" s="7">
        <f>IF(OR(B86&lt;&gt;"",D86&gt;0),TODAY(),"")</f>
        <v/>
      </c>
      <c r="B86" s="4" t="n"/>
      <c r="C86" s="8">
        <f>IF(B86="","",IFERROR(XLOOKUP(B86,tblYetkazuvchilar[Kod],tblYetkazuvchilar[Ism]),"?"))</f>
        <v/>
      </c>
      <c r="D86" s="5" t="n"/>
      <c r="E86" s="4" t="n"/>
    </row>
    <row r="87">
      <c r="A87" s="7">
        <f>IF(OR(B87&lt;&gt;"",D87&gt;0),TODAY(),"")</f>
        <v/>
      </c>
      <c r="B87" s="4" t="n"/>
      <c r="C87" s="8">
        <f>IF(B87="","",IFERROR(XLOOKUP(B87,tblYetkazuvchilar[Kod],tblYetkazuvchilar[Ism]),"?"))</f>
        <v/>
      </c>
      <c r="D87" s="5" t="n"/>
      <c r="E87" s="4" t="n"/>
    </row>
    <row r="88">
      <c r="A88" s="7">
        <f>IF(OR(B88&lt;&gt;"",D88&gt;0),TODAY(),"")</f>
        <v/>
      </c>
      <c r="B88" s="4" t="n"/>
      <c r="C88" s="8">
        <f>IF(B88="","",IFERROR(XLOOKUP(B88,tblYetkazuvchilar[Kod],tblYetkazuvchilar[Ism]),"?"))</f>
        <v/>
      </c>
      <c r="D88" s="5" t="n"/>
      <c r="E88" s="4" t="n"/>
    </row>
    <row r="89">
      <c r="A89" s="7">
        <f>IF(OR(B89&lt;&gt;"",D89&gt;0),TODAY(),"")</f>
        <v/>
      </c>
      <c r="B89" s="4" t="n"/>
      <c r="C89" s="8">
        <f>IF(B89="","",IFERROR(XLOOKUP(B89,tblYetkazuvchilar[Kod],tblYetkazuvchilar[Ism]),"?"))</f>
        <v/>
      </c>
      <c r="D89" s="5" t="n"/>
      <c r="E89" s="4" t="n"/>
    </row>
    <row r="90">
      <c r="A90" s="7">
        <f>IF(OR(B90&lt;&gt;"",D90&gt;0),TODAY(),"")</f>
        <v/>
      </c>
      <c r="B90" s="4" t="n"/>
      <c r="C90" s="8">
        <f>IF(B90="","",IFERROR(XLOOKUP(B90,tblYetkazuvchilar[Kod],tblYetkazuvchilar[Ism]),"?"))</f>
        <v/>
      </c>
      <c r="D90" s="5" t="n"/>
      <c r="E90" s="4" t="n"/>
    </row>
    <row r="91">
      <c r="A91" s="7">
        <f>IF(OR(B91&lt;&gt;"",D91&gt;0),TODAY(),"")</f>
        <v/>
      </c>
      <c r="B91" s="4" t="n"/>
      <c r="C91" s="8">
        <f>IF(B91="","",IFERROR(XLOOKUP(B91,tblYetkazuvchilar[Kod],tblYetkazuvchilar[Ism]),"?"))</f>
        <v/>
      </c>
      <c r="D91" s="5" t="n"/>
      <c r="E91" s="4" t="n"/>
    </row>
    <row r="92">
      <c r="A92" s="7">
        <f>IF(OR(B92&lt;&gt;"",D92&gt;0),TODAY(),"")</f>
        <v/>
      </c>
      <c r="B92" s="4" t="n"/>
      <c r="C92" s="8">
        <f>IF(B92="","",IFERROR(XLOOKUP(B92,tblYetkazuvchilar[Kod],tblYetkazuvchilar[Ism]),"?"))</f>
        <v/>
      </c>
      <c r="D92" s="5" t="n"/>
      <c r="E92" s="4" t="n"/>
    </row>
    <row r="93">
      <c r="A93" s="7">
        <f>IF(OR(B93&lt;&gt;"",D93&gt;0),TODAY(),"")</f>
        <v/>
      </c>
      <c r="B93" s="4" t="n"/>
      <c r="C93" s="8">
        <f>IF(B93="","",IFERROR(XLOOKUP(B93,tblYetkazuvchilar[Kod],tblYetkazuvchilar[Ism]),"?"))</f>
        <v/>
      </c>
      <c r="D93" s="5" t="n"/>
      <c r="E93" s="4" t="n"/>
    </row>
    <row r="94">
      <c r="A94" s="7">
        <f>IF(OR(B94&lt;&gt;"",D94&gt;0),TODAY(),"")</f>
        <v/>
      </c>
      <c r="B94" s="4" t="n"/>
      <c r="C94" s="8">
        <f>IF(B94="","",IFERROR(XLOOKUP(B94,tblYetkazuvchilar[Kod],tblYetkazuvchilar[Ism]),"?"))</f>
        <v/>
      </c>
      <c r="D94" s="5" t="n"/>
      <c r="E94" s="4" t="n"/>
    </row>
    <row r="95">
      <c r="A95" s="7">
        <f>IF(OR(B95&lt;&gt;"",D95&gt;0),TODAY(),"")</f>
        <v/>
      </c>
      <c r="B95" s="4" t="n"/>
      <c r="C95" s="8">
        <f>IF(B95="","",IFERROR(XLOOKUP(B95,tblYetkazuvchilar[Kod],tblYetkazuvchilar[Ism]),"?"))</f>
        <v/>
      </c>
      <c r="D95" s="5" t="n"/>
      <c r="E95" s="4" t="n"/>
    </row>
    <row r="96">
      <c r="A96" s="7">
        <f>IF(OR(B96&lt;&gt;"",D96&gt;0),TODAY(),"")</f>
        <v/>
      </c>
      <c r="B96" s="4" t="n"/>
      <c r="C96" s="8">
        <f>IF(B96="","",IFERROR(XLOOKUP(B96,tblYetkazuvchilar[Kod],tblYetkazuvchilar[Ism]),"?"))</f>
        <v/>
      </c>
      <c r="D96" s="5" t="n"/>
      <c r="E96" s="4" t="n"/>
    </row>
    <row r="97">
      <c r="A97" s="7">
        <f>IF(OR(B97&lt;&gt;"",D97&gt;0),TODAY(),"")</f>
        <v/>
      </c>
      <c r="B97" s="4" t="n"/>
      <c r="C97" s="8">
        <f>IF(B97="","",IFERROR(XLOOKUP(B97,tblYetkazuvchilar[Kod],tblYetkazuvchilar[Ism]),"?"))</f>
        <v/>
      </c>
      <c r="D97" s="5" t="n"/>
      <c r="E97" s="4" t="n"/>
    </row>
    <row r="98">
      <c r="A98" s="7">
        <f>IF(OR(B98&lt;&gt;"",D98&gt;0),TODAY(),"")</f>
        <v/>
      </c>
      <c r="B98" s="4" t="n"/>
      <c r="C98" s="8">
        <f>IF(B98="","",IFERROR(XLOOKUP(B98,tblYetkazuvchilar[Kod],tblYetkazuvchilar[Ism]),"?"))</f>
        <v/>
      </c>
      <c r="D98" s="5" t="n"/>
      <c r="E98" s="4" t="n"/>
    </row>
    <row r="99">
      <c r="A99" s="7">
        <f>IF(OR(B99&lt;&gt;"",D99&gt;0),TODAY(),"")</f>
        <v/>
      </c>
      <c r="B99" s="4" t="n"/>
      <c r="C99" s="8">
        <f>IF(B99="","",IFERROR(XLOOKUP(B99,tblYetkazuvchilar[Kod],tblYetkazuvchilar[Ism]),"?"))</f>
        <v/>
      </c>
      <c r="D99" s="5" t="n"/>
      <c r="E99" s="4" t="n"/>
    </row>
    <row r="100">
      <c r="A100" s="7">
        <f>IF(OR(B100&lt;&gt;"",D100&gt;0),TODAY(),"")</f>
        <v/>
      </c>
      <c r="B100" s="4" t="n"/>
      <c r="C100" s="8">
        <f>IF(B100="","",IFERROR(XLOOKUP(B100,tblYetkazuvchilar[Kod],tblYetkazuvchilar[Ism]),"?"))</f>
        <v/>
      </c>
      <c r="D100" s="5" t="n"/>
      <c r="E100" s="4" t="n"/>
    </row>
    <row r="101">
      <c r="A101" s="7">
        <f>IF(OR(B101&lt;&gt;"",D101&gt;0),TODAY(),"")</f>
        <v/>
      </c>
      <c r="B101" s="4" t="n"/>
      <c r="C101" s="8">
        <f>IF(B101="","",IFERROR(XLOOKUP(B101,tblYetkazuvchilar[Kod],tblYetkazuvchilar[Ism]),"?"))</f>
        <v/>
      </c>
      <c r="D101" s="5" t="n"/>
      <c r="E101" s="4" t="n"/>
    </row>
    <row r="102">
      <c r="A102" s="7">
        <f>IF(OR(B102&lt;&gt;"",D102&gt;0),TODAY(),"")</f>
        <v/>
      </c>
      <c r="B102" s="4" t="n"/>
      <c r="C102" s="8">
        <f>IF(B102="","",IFERROR(XLOOKUP(B102,tblYetkazuvchilar[Kod],tblYetkazuvchilar[Ism]),"?"))</f>
        <v/>
      </c>
      <c r="D102" s="5" t="n"/>
      <c r="E102" s="4" t="n"/>
    </row>
    <row r="103">
      <c r="A103" s="7">
        <f>IF(OR(B103&lt;&gt;"",D103&gt;0),TODAY(),"")</f>
        <v/>
      </c>
      <c r="B103" s="4" t="n"/>
      <c r="C103" s="8">
        <f>IF(B103="","",IFERROR(XLOOKUP(B103,tblYetkazuvchilar[Kod],tblYetkazuvchilar[Ism]),"?"))</f>
        <v/>
      </c>
      <c r="D103" s="5" t="n"/>
      <c r="E103" s="4" t="n"/>
    </row>
    <row r="104">
      <c r="A104" s="7">
        <f>IF(OR(B104&lt;&gt;"",D104&gt;0),TODAY(),"")</f>
        <v/>
      </c>
      <c r="B104" s="4" t="n"/>
      <c r="C104" s="8">
        <f>IF(B104="","",IFERROR(XLOOKUP(B104,tblYetkazuvchilar[Kod],tblYetkazuvchilar[Ism]),"?"))</f>
        <v/>
      </c>
      <c r="D104" s="5" t="n"/>
      <c r="E104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26" customWidth="1" min="4" max="4"/>
    <col width="15" customWidth="1" min="5" max="5"/>
    <col width="26" customWidth="1" min="6" max="6"/>
    <col width="24" customWidth="1" min="7" max="7"/>
    <col width="26" customWidth="1" min="8" max="8"/>
  </cols>
  <sheetData>
    <row r="1">
      <c r="A1" s="1" t="inlineStr">
        <is>
          <t>Kunlik kassa hisoboti</t>
        </is>
      </c>
    </row>
    <row r="2">
      <c r="A2" s="2" t="inlineStr">
        <is>
          <t>Har kuni bitta qator: kirdi (sotuv) yozing. Xarajat va tavarga pul — Xarajatlar/Tovarga pul varag'idan avtomatik yig'iladi.</t>
        </is>
      </c>
    </row>
    <row r="3"/>
    <row r="4" ht="30" customHeight="1">
      <c r="A4" s="3" t="inlineStr">
        <is>
          <t>Sana</t>
        </is>
      </c>
      <c r="B4" s="3" t="inlineStr">
        <is>
          <t>Kirdi</t>
        </is>
      </c>
      <c r="C4" s="3" t="inlineStr">
        <is>
          <t>Xarajat</t>
        </is>
      </c>
      <c r="D4" s="3" t="inlineStr">
        <is>
          <t>Tavarga_pul</t>
        </is>
      </c>
      <c r="E4" s="3" t="inlineStr">
        <is>
          <t>Boshqa_chiqim</t>
        </is>
      </c>
      <c r="F4" s="3" t="inlineStr">
        <is>
          <t>Jami_chiqim</t>
        </is>
      </c>
      <c r="G4" s="3" t="inlineStr">
        <is>
          <t>Kunlik_farq</t>
        </is>
      </c>
      <c r="H4" s="3" t="inlineStr">
        <is>
          <t>Kassa_qoldiq</t>
        </is>
      </c>
    </row>
    <row r="5">
      <c r="A5" s="7" t="n">
        <v>46235</v>
      </c>
      <c r="B5" s="5" t="n">
        <v>1200000</v>
      </c>
      <c r="C5" s="9">
        <f>IF(A5="","",SUMIFS(tblXarajatlar[Summa],tblXarajatlar[Sana],A5))</f>
        <v/>
      </c>
      <c r="D5" s="9">
        <f>IF(A5="","",SUMIFS(tblTovargaPul[Summa],tblTovargaPul[Sana],A5))</f>
        <v/>
      </c>
      <c r="E5" s="5" t="n">
        <v>20000</v>
      </c>
      <c r="F5" s="9">
        <f>SUM(C5:E5)</f>
        <v/>
      </c>
      <c r="G5" s="9">
        <f>B5-F5</f>
        <v/>
      </c>
      <c r="H5" s="9">
        <f>StartCash+G5</f>
        <v/>
      </c>
    </row>
    <row r="6">
      <c r="A6" s="7" t="n">
        <v>46236</v>
      </c>
      <c r="B6" s="5" t="n">
        <v>980000</v>
      </c>
      <c r="C6" s="9">
        <f>IF(A6="","",SUMIFS(tblXarajatlar[Summa],tblXarajatlar[Sana],A6))</f>
        <v/>
      </c>
      <c r="D6" s="9">
        <f>IF(A6="","",SUMIFS(tblTovargaPul[Summa],tblTovargaPul[Sana],A6))</f>
        <v/>
      </c>
      <c r="E6" s="5" t="n">
        <v>15000</v>
      </c>
      <c r="F6" s="9">
        <f>SUM(C6:E6)</f>
        <v/>
      </c>
      <c r="G6" s="9">
        <f>B6-F6</f>
        <v/>
      </c>
      <c r="H6" s="9">
        <f>H5+G6</f>
        <v/>
      </c>
    </row>
    <row r="7">
      <c r="A7" s="7" t="n">
        <v>46237</v>
      </c>
      <c r="B7" s="5" t="n">
        <v>1500000</v>
      </c>
      <c r="C7" s="9">
        <f>IF(A7="","",SUMIFS(tblXarajatlar[Summa],tblXarajatlar[Sana],A7))</f>
        <v/>
      </c>
      <c r="D7" s="9">
        <f>IF(A7="","",SUMIFS(tblTovargaPul[Summa],tblTovargaPul[Sana],A7))</f>
        <v/>
      </c>
      <c r="E7" s="5" t="n">
        <v>30000</v>
      </c>
      <c r="F7" s="9">
        <f>SUM(C7:E7)</f>
        <v/>
      </c>
      <c r="G7" s="9">
        <f>B7-F7</f>
        <v/>
      </c>
      <c r="H7" s="9">
        <f>H6+G7</f>
        <v/>
      </c>
    </row>
    <row r="8">
      <c r="A8" s="7">
        <f>IF(OR(B8&gt;0,E8&gt;0),TODAY(),"")</f>
        <v/>
      </c>
      <c r="B8" s="5" t="n"/>
      <c r="C8" s="9">
        <f>IF(A8="","",SUMIFS(tblXarajatlar[Summa],tblXarajatlar[Sana],A8))</f>
        <v/>
      </c>
      <c r="D8" s="9">
        <f>IF(A8="","",SUMIFS(tblTovargaPul[Summa],tblTovargaPul[Sana],A8))</f>
        <v/>
      </c>
      <c r="E8" s="5" t="n"/>
      <c r="F8" s="9">
        <f>IF(A8="","",SUM(C8:E8))</f>
        <v/>
      </c>
      <c r="G8" s="9">
        <f>IF(A8="","",B8-F8)</f>
        <v/>
      </c>
      <c r="H8" s="9">
        <f>IF(A8="","",IF(H7="",StartCash+G8,H7+G8))</f>
        <v/>
      </c>
    </row>
    <row r="9">
      <c r="A9" s="7">
        <f>IF(OR(B9&gt;0,E9&gt;0),TODAY(),"")</f>
        <v/>
      </c>
      <c r="B9" s="5" t="n"/>
      <c r="C9" s="9">
        <f>IF(A9="","",SUMIFS(tblXarajatlar[Summa],tblXarajatlar[Sana],A9))</f>
        <v/>
      </c>
      <c r="D9" s="9">
        <f>IF(A9="","",SUMIFS(tblTovargaPul[Summa],tblTovargaPul[Sana],A9))</f>
        <v/>
      </c>
      <c r="E9" s="5" t="n"/>
      <c r="F9" s="9">
        <f>IF(A9="","",SUM(C9:E9))</f>
        <v/>
      </c>
      <c r="G9" s="9">
        <f>IF(A9="","",B9-F9)</f>
        <v/>
      </c>
      <c r="H9" s="9">
        <f>IF(A9="","",IF(H8="",StartCash+G9,H8+G9))</f>
        <v/>
      </c>
    </row>
    <row r="10">
      <c r="A10" s="7">
        <f>IF(OR(B10&gt;0,E10&gt;0),TODAY(),"")</f>
        <v/>
      </c>
      <c r="B10" s="5" t="n"/>
      <c r="C10" s="9">
        <f>IF(A10="","",SUMIFS(tblXarajatlar[Summa],tblXarajatlar[Sana],A10))</f>
        <v/>
      </c>
      <c r="D10" s="9">
        <f>IF(A10="","",SUMIFS(tblTovargaPul[Summa],tblTovargaPul[Sana],A10))</f>
        <v/>
      </c>
      <c r="E10" s="5" t="n"/>
      <c r="F10" s="9">
        <f>IF(A10="","",SUM(C10:E10))</f>
        <v/>
      </c>
      <c r="G10" s="9">
        <f>IF(A10="","",B10-F10)</f>
        <v/>
      </c>
      <c r="H10" s="9">
        <f>IF(A10="","",IF(H9="",StartCash+G10,H9+G10))</f>
        <v/>
      </c>
    </row>
    <row r="11">
      <c r="A11" s="7">
        <f>IF(OR(B11&gt;0,E11&gt;0),TODAY(),"")</f>
        <v/>
      </c>
      <c r="B11" s="5" t="n"/>
      <c r="C11" s="9">
        <f>IF(A11="","",SUMIFS(tblXarajatlar[Summa],tblXarajatlar[Sana],A11))</f>
        <v/>
      </c>
      <c r="D11" s="9">
        <f>IF(A11="","",SUMIFS(tblTovargaPul[Summa],tblTovargaPul[Sana],A11))</f>
        <v/>
      </c>
      <c r="E11" s="5" t="n"/>
      <c r="F11" s="9">
        <f>IF(A11="","",SUM(C11:E11))</f>
        <v/>
      </c>
      <c r="G11" s="9">
        <f>IF(A11="","",B11-F11)</f>
        <v/>
      </c>
      <c r="H11" s="9">
        <f>IF(A11="","",IF(H10="",StartCash+G11,H10+G11))</f>
        <v/>
      </c>
    </row>
    <row r="12">
      <c r="A12" s="7">
        <f>IF(OR(B12&gt;0,E12&gt;0),TODAY(),"")</f>
        <v/>
      </c>
      <c r="B12" s="5" t="n"/>
      <c r="C12" s="9">
        <f>IF(A12="","",SUMIFS(tblXarajatlar[Summa],tblXarajatlar[Sana],A12))</f>
        <v/>
      </c>
      <c r="D12" s="9">
        <f>IF(A12="","",SUMIFS(tblTovargaPul[Summa],tblTovargaPul[Sana],A12))</f>
        <v/>
      </c>
      <c r="E12" s="5" t="n"/>
      <c r="F12" s="9">
        <f>IF(A12="","",SUM(C12:E12))</f>
        <v/>
      </c>
      <c r="G12" s="9">
        <f>IF(A12="","",B12-F12)</f>
        <v/>
      </c>
      <c r="H12" s="9">
        <f>IF(A12="","",IF(H11="",StartCash+G12,H11+G12))</f>
        <v/>
      </c>
    </row>
    <row r="13">
      <c r="A13" s="7">
        <f>IF(OR(B13&gt;0,E13&gt;0),TODAY(),"")</f>
        <v/>
      </c>
      <c r="B13" s="5" t="n"/>
      <c r="C13" s="9">
        <f>IF(A13="","",SUMIFS(tblXarajatlar[Summa],tblXarajatlar[Sana],A13))</f>
        <v/>
      </c>
      <c r="D13" s="9">
        <f>IF(A13="","",SUMIFS(tblTovargaPul[Summa],tblTovargaPul[Sana],A13))</f>
        <v/>
      </c>
      <c r="E13" s="5" t="n"/>
      <c r="F13" s="9">
        <f>IF(A13="","",SUM(C13:E13))</f>
        <v/>
      </c>
      <c r="G13" s="9">
        <f>IF(A13="","",B13-F13)</f>
        <v/>
      </c>
      <c r="H13" s="9">
        <f>IF(A13="","",IF(H12="",StartCash+G13,H12+G13))</f>
        <v/>
      </c>
    </row>
    <row r="14">
      <c r="A14" s="7">
        <f>IF(OR(B14&gt;0,E14&gt;0),TODAY(),"")</f>
        <v/>
      </c>
      <c r="B14" s="5" t="n"/>
      <c r="C14" s="9">
        <f>IF(A14="","",SUMIFS(tblXarajatlar[Summa],tblXarajatlar[Sana],A14))</f>
        <v/>
      </c>
      <c r="D14" s="9">
        <f>IF(A14="","",SUMIFS(tblTovargaPul[Summa],tblTovargaPul[Sana],A14))</f>
        <v/>
      </c>
      <c r="E14" s="5" t="n"/>
      <c r="F14" s="9">
        <f>IF(A14="","",SUM(C14:E14))</f>
        <v/>
      </c>
      <c r="G14" s="9">
        <f>IF(A14="","",B14-F14)</f>
        <v/>
      </c>
      <c r="H14" s="9">
        <f>IF(A14="","",IF(H13="",StartCash+G14,H13+G14))</f>
        <v/>
      </c>
    </row>
    <row r="15">
      <c r="A15" s="7">
        <f>IF(OR(B15&gt;0,E15&gt;0),TODAY(),"")</f>
        <v/>
      </c>
      <c r="B15" s="5" t="n"/>
      <c r="C15" s="9">
        <f>IF(A15="","",SUMIFS(tblXarajatlar[Summa],tblXarajatlar[Sana],A15))</f>
        <v/>
      </c>
      <c r="D15" s="9">
        <f>IF(A15="","",SUMIFS(tblTovargaPul[Summa],tblTovargaPul[Sana],A15))</f>
        <v/>
      </c>
      <c r="E15" s="5" t="n"/>
      <c r="F15" s="9">
        <f>IF(A15="","",SUM(C15:E15))</f>
        <v/>
      </c>
      <c r="G15" s="9">
        <f>IF(A15="","",B15-F15)</f>
        <v/>
      </c>
      <c r="H15" s="9">
        <f>IF(A15="","",IF(H14="",StartCash+G15,H14+G15))</f>
        <v/>
      </c>
    </row>
    <row r="16">
      <c r="A16" s="7">
        <f>IF(OR(B16&gt;0,E16&gt;0),TODAY(),"")</f>
        <v/>
      </c>
      <c r="B16" s="5" t="n"/>
      <c r="C16" s="9">
        <f>IF(A16="","",SUMIFS(tblXarajatlar[Summa],tblXarajatlar[Sana],A16))</f>
        <v/>
      </c>
      <c r="D16" s="9">
        <f>IF(A16="","",SUMIFS(tblTovargaPul[Summa],tblTovargaPul[Sana],A16))</f>
        <v/>
      </c>
      <c r="E16" s="5" t="n"/>
      <c r="F16" s="9">
        <f>IF(A16="","",SUM(C16:E16))</f>
        <v/>
      </c>
      <c r="G16" s="9">
        <f>IF(A16="","",B16-F16)</f>
        <v/>
      </c>
      <c r="H16" s="9">
        <f>IF(A16="","",IF(H15="",StartCash+G16,H15+G16))</f>
        <v/>
      </c>
    </row>
    <row r="17">
      <c r="A17" s="7">
        <f>IF(OR(B17&gt;0,E17&gt;0),TODAY(),"")</f>
        <v/>
      </c>
      <c r="B17" s="5" t="n"/>
      <c r="C17" s="9">
        <f>IF(A17="","",SUMIFS(tblXarajatlar[Summa],tblXarajatlar[Sana],A17))</f>
        <v/>
      </c>
      <c r="D17" s="9">
        <f>IF(A17="","",SUMIFS(tblTovargaPul[Summa],tblTovargaPul[Sana],A17))</f>
        <v/>
      </c>
      <c r="E17" s="5" t="n"/>
      <c r="F17" s="9">
        <f>IF(A17="","",SUM(C17:E17))</f>
        <v/>
      </c>
      <c r="G17" s="9">
        <f>IF(A17="","",B17-F17)</f>
        <v/>
      </c>
      <c r="H17" s="9">
        <f>IF(A17="","",IF(H16="",StartCash+G17,H16+G17))</f>
        <v/>
      </c>
    </row>
    <row r="18">
      <c r="A18" s="7">
        <f>IF(OR(B18&gt;0,E18&gt;0),TODAY(),"")</f>
        <v/>
      </c>
      <c r="B18" s="5" t="n"/>
      <c r="C18" s="9">
        <f>IF(A18="","",SUMIFS(tblXarajatlar[Summa],tblXarajatlar[Sana],A18))</f>
        <v/>
      </c>
      <c r="D18" s="9">
        <f>IF(A18="","",SUMIFS(tblTovargaPul[Summa],tblTovargaPul[Sana],A18))</f>
        <v/>
      </c>
      <c r="E18" s="5" t="n"/>
      <c r="F18" s="9">
        <f>IF(A18="","",SUM(C18:E18))</f>
        <v/>
      </c>
      <c r="G18" s="9">
        <f>IF(A18="","",B18-F18)</f>
        <v/>
      </c>
      <c r="H18" s="9">
        <f>IF(A18="","",IF(H17="",StartCash+G18,H17+G18))</f>
        <v/>
      </c>
    </row>
    <row r="19">
      <c r="A19" s="7">
        <f>IF(OR(B19&gt;0,E19&gt;0),TODAY(),"")</f>
        <v/>
      </c>
      <c r="B19" s="5" t="n"/>
      <c r="C19" s="9">
        <f>IF(A19="","",SUMIFS(tblXarajatlar[Summa],tblXarajatlar[Sana],A19))</f>
        <v/>
      </c>
      <c r="D19" s="9">
        <f>IF(A19="","",SUMIFS(tblTovargaPul[Summa],tblTovargaPul[Sana],A19))</f>
        <v/>
      </c>
      <c r="E19" s="5" t="n"/>
      <c r="F19" s="9">
        <f>IF(A19="","",SUM(C19:E19))</f>
        <v/>
      </c>
      <c r="G19" s="9">
        <f>IF(A19="","",B19-F19)</f>
        <v/>
      </c>
      <c r="H19" s="9">
        <f>IF(A19="","",IF(H18="",StartCash+G19,H18+G19))</f>
        <v/>
      </c>
    </row>
    <row r="20">
      <c r="A20" s="7">
        <f>IF(OR(B20&gt;0,E20&gt;0),TODAY(),"")</f>
        <v/>
      </c>
      <c r="B20" s="5" t="n"/>
      <c r="C20" s="9">
        <f>IF(A20="","",SUMIFS(tblXarajatlar[Summa],tblXarajatlar[Sana],A20))</f>
        <v/>
      </c>
      <c r="D20" s="9">
        <f>IF(A20="","",SUMIFS(tblTovargaPul[Summa],tblTovargaPul[Sana],A20))</f>
        <v/>
      </c>
      <c r="E20" s="5" t="n"/>
      <c r="F20" s="9">
        <f>IF(A20="","",SUM(C20:E20))</f>
        <v/>
      </c>
      <c r="G20" s="9">
        <f>IF(A20="","",B20-F20)</f>
        <v/>
      </c>
      <c r="H20" s="9">
        <f>IF(A20="","",IF(H19="",StartCash+G20,H19+G20))</f>
        <v/>
      </c>
    </row>
    <row r="21">
      <c r="A21" s="7">
        <f>IF(OR(B21&gt;0,E21&gt;0),TODAY(),"")</f>
        <v/>
      </c>
      <c r="B21" s="5" t="n"/>
      <c r="C21" s="9">
        <f>IF(A21="","",SUMIFS(tblXarajatlar[Summa],tblXarajatlar[Sana],A21))</f>
        <v/>
      </c>
      <c r="D21" s="9">
        <f>IF(A21="","",SUMIFS(tblTovargaPul[Summa],tblTovargaPul[Sana],A21))</f>
        <v/>
      </c>
      <c r="E21" s="5" t="n"/>
      <c r="F21" s="9">
        <f>IF(A21="","",SUM(C21:E21))</f>
        <v/>
      </c>
      <c r="G21" s="9">
        <f>IF(A21="","",B21-F21)</f>
        <v/>
      </c>
      <c r="H21" s="9">
        <f>IF(A21="","",IF(H20="",StartCash+G21,H20+G21))</f>
        <v/>
      </c>
    </row>
    <row r="22">
      <c r="A22" s="7">
        <f>IF(OR(B22&gt;0,E22&gt;0),TODAY(),"")</f>
        <v/>
      </c>
      <c r="B22" s="5" t="n"/>
      <c r="C22" s="9">
        <f>IF(A22="","",SUMIFS(tblXarajatlar[Summa],tblXarajatlar[Sana],A22))</f>
        <v/>
      </c>
      <c r="D22" s="9">
        <f>IF(A22="","",SUMIFS(tblTovargaPul[Summa],tblTovargaPul[Sana],A22))</f>
        <v/>
      </c>
      <c r="E22" s="5" t="n"/>
      <c r="F22" s="9">
        <f>IF(A22="","",SUM(C22:E22))</f>
        <v/>
      </c>
      <c r="G22" s="9">
        <f>IF(A22="","",B22-F22)</f>
        <v/>
      </c>
      <c r="H22" s="9">
        <f>IF(A22="","",IF(H21="",StartCash+G22,H21+G22))</f>
        <v/>
      </c>
    </row>
    <row r="23">
      <c r="A23" s="7">
        <f>IF(OR(B23&gt;0,E23&gt;0),TODAY(),"")</f>
        <v/>
      </c>
      <c r="B23" s="5" t="n"/>
      <c r="C23" s="9">
        <f>IF(A23="","",SUMIFS(tblXarajatlar[Summa],tblXarajatlar[Sana],A23))</f>
        <v/>
      </c>
      <c r="D23" s="9">
        <f>IF(A23="","",SUMIFS(tblTovargaPul[Summa],tblTovargaPul[Sana],A23))</f>
        <v/>
      </c>
      <c r="E23" s="5" t="n"/>
      <c r="F23" s="9">
        <f>IF(A23="","",SUM(C23:E23))</f>
        <v/>
      </c>
      <c r="G23" s="9">
        <f>IF(A23="","",B23-F23)</f>
        <v/>
      </c>
      <c r="H23" s="9">
        <f>IF(A23="","",IF(H22="",StartCash+G23,H22+G23))</f>
        <v/>
      </c>
    </row>
    <row r="24">
      <c r="A24" s="7">
        <f>IF(OR(B24&gt;0,E24&gt;0),TODAY(),"")</f>
        <v/>
      </c>
      <c r="B24" s="5" t="n"/>
      <c r="C24" s="9">
        <f>IF(A24="","",SUMIFS(tblXarajatlar[Summa],tblXarajatlar[Sana],A24))</f>
        <v/>
      </c>
      <c r="D24" s="9">
        <f>IF(A24="","",SUMIFS(tblTovargaPul[Summa],tblTovargaPul[Sana],A24))</f>
        <v/>
      </c>
      <c r="E24" s="5" t="n"/>
      <c r="F24" s="9">
        <f>IF(A24="","",SUM(C24:E24))</f>
        <v/>
      </c>
      <c r="G24" s="9">
        <f>IF(A24="","",B24-F24)</f>
        <v/>
      </c>
      <c r="H24" s="9">
        <f>IF(A24="","",IF(H23="",StartCash+G24,H23+G24))</f>
        <v/>
      </c>
    </row>
    <row r="25">
      <c r="A25" s="7">
        <f>IF(OR(B25&gt;0,E25&gt;0),TODAY(),"")</f>
        <v/>
      </c>
      <c r="B25" s="5" t="n"/>
      <c r="C25" s="9">
        <f>IF(A25="","",SUMIFS(tblXarajatlar[Summa],tblXarajatlar[Sana],A25))</f>
        <v/>
      </c>
      <c r="D25" s="9">
        <f>IF(A25="","",SUMIFS(tblTovargaPul[Summa],tblTovargaPul[Sana],A25))</f>
        <v/>
      </c>
      <c r="E25" s="5" t="n"/>
      <c r="F25" s="9">
        <f>IF(A25="","",SUM(C25:E25))</f>
        <v/>
      </c>
      <c r="G25" s="9">
        <f>IF(A25="","",B25-F25)</f>
        <v/>
      </c>
      <c r="H25" s="9">
        <f>IF(A25="","",IF(H24="",StartCash+G25,H24+G25))</f>
        <v/>
      </c>
    </row>
    <row r="26">
      <c r="A26" s="7">
        <f>IF(OR(B26&gt;0,E26&gt;0),TODAY(),"")</f>
        <v/>
      </c>
      <c r="B26" s="5" t="n"/>
      <c r="C26" s="9">
        <f>IF(A26="","",SUMIFS(tblXarajatlar[Summa],tblXarajatlar[Sana],A26))</f>
        <v/>
      </c>
      <c r="D26" s="9">
        <f>IF(A26="","",SUMIFS(tblTovargaPul[Summa],tblTovargaPul[Sana],A26))</f>
        <v/>
      </c>
      <c r="E26" s="5" t="n"/>
      <c r="F26" s="9">
        <f>IF(A26="","",SUM(C26:E26))</f>
        <v/>
      </c>
      <c r="G26" s="9">
        <f>IF(A26="","",B26-F26)</f>
        <v/>
      </c>
      <c r="H26" s="9">
        <f>IF(A26="","",IF(H25="",StartCash+G26,H25+G26))</f>
        <v/>
      </c>
    </row>
    <row r="27">
      <c r="A27" s="7">
        <f>IF(OR(B27&gt;0,E27&gt;0),TODAY(),"")</f>
        <v/>
      </c>
      <c r="B27" s="5" t="n"/>
      <c r="C27" s="9">
        <f>IF(A27="","",SUMIFS(tblXarajatlar[Summa],tblXarajatlar[Sana],A27))</f>
        <v/>
      </c>
      <c r="D27" s="9">
        <f>IF(A27="","",SUMIFS(tblTovargaPul[Summa],tblTovargaPul[Sana],A27))</f>
        <v/>
      </c>
      <c r="E27" s="5" t="n"/>
      <c r="F27" s="9">
        <f>IF(A27="","",SUM(C27:E27))</f>
        <v/>
      </c>
      <c r="G27" s="9">
        <f>IF(A27="","",B27-F27)</f>
        <v/>
      </c>
      <c r="H27" s="9">
        <f>IF(A27="","",IF(H26="",StartCash+G27,H26+G27))</f>
        <v/>
      </c>
    </row>
    <row r="28">
      <c r="A28" s="7">
        <f>IF(OR(B28&gt;0,E28&gt;0),TODAY(),"")</f>
        <v/>
      </c>
      <c r="B28" s="5" t="n"/>
      <c r="C28" s="9">
        <f>IF(A28="","",SUMIFS(tblXarajatlar[Summa],tblXarajatlar[Sana],A28))</f>
        <v/>
      </c>
      <c r="D28" s="9">
        <f>IF(A28="","",SUMIFS(tblTovargaPul[Summa],tblTovargaPul[Sana],A28))</f>
        <v/>
      </c>
      <c r="E28" s="5" t="n"/>
      <c r="F28" s="9">
        <f>IF(A28="","",SUM(C28:E28))</f>
        <v/>
      </c>
      <c r="G28" s="9">
        <f>IF(A28="","",B28-F28)</f>
        <v/>
      </c>
      <c r="H28" s="9">
        <f>IF(A28="","",IF(H27="",StartCash+G28,H27+G28))</f>
        <v/>
      </c>
    </row>
    <row r="29">
      <c r="A29" s="7">
        <f>IF(OR(B29&gt;0,E29&gt;0),TODAY(),"")</f>
        <v/>
      </c>
      <c r="B29" s="5" t="n"/>
      <c r="C29" s="9">
        <f>IF(A29="","",SUMIFS(tblXarajatlar[Summa],tblXarajatlar[Sana],A29))</f>
        <v/>
      </c>
      <c r="D29" s="9">
        <f>IF(A29="","",SUMIFS(tblTovargaPul[Summa],tblTovargaPul[Sana],A29))</f>
        <v/>
      </c>
      <c r="E29" s="5" t="n"/>
      <c r="F29" s="9">
        <f>IF(A29="","",SUM(C29:E29))</f>
        <v/>
      </c>
      <c r="G29" s="9">
        <f>IF(A29="","",B29-F29)</f>
        <v/>
      </c>
      <c r="H29" s="9">
        <f>IF(A29="","",IF(H28="",StartCash+G29,H28+G29))</f>
        <v/>
      </c>
    </row>
    <row r="30">
      <c r="A30" s="7">
        <f>IF(OR(B30&gt;0,E30&gt;0),TODAY(),"")</f>
        <v/>
      </c>
      <c r="B30" s="5" t="n"/>
      <c r="C30" s="9">
        <f>IF(A30="","",SUMIFS(tblXarajatlar[Summa],tblXarajatlar[Sana],A30))</f>
        <v/>
      </c>
      <c r="D30" s="9">
        <f>IF(A30="","",SUMIFS(tblTovargaPul[Summa],tblTovargaPul[Sana],A30))</f>
        <v/>
      </c>
      <c r="E30" s="5" t="n"/>
      <c r="F30" s="9">
        <f>IF(A30="","",SUM(C30:E30))</f>
        <v/>
      </c>
      <c r="G30" s="9">
        <f>IF(A30="","",B30-F30)</f>
        <v/>
      </c>
      <c r="H30" s="9">
        <f>IF(A30="","",IF(H29="",StartCash+G30,H29+G30))</f>
        <v/>
      </c>
    </row>
    <row r="31">
      <c r="A31" s="7">
        <f>IF(OR(B31&gt;0,E31&gt;0),TODAY(),"")</f>
        <v/>
      </c>
      <c r="B31" s="5" t="n"/>
      <c r="C31" s="9">
        <f>IF(A31="","",SUMIFS(tblXarajatlar[Summa],tblXarajatlar[Sana],A31))</f>
        <v/>
      </c>
      <c r="D31" s="9">
        <f>IF(A31="","",SUMIFS(tblTovargaPul[Summa],tblTovargaPul[Sana],A31))</f>
        <v/>
      </c>
      <c r="E31" s="5" t="n"/>
      <c r="F31" s="9">
        <f>IF(A31="","",SUM(C31:E31))</f>
        <v/>
      </c>
      <c r="G31" s="9">
        <f>IF(A31="","",B31-F31)</f>
        <v/>
      </c>
      <c r="H31" s="9">
        <f>IF(A31="","",IF(H30="",StartCash+G31,H30+G31))</f>
        <v/>
      </c>
    </row>
    <row r="32">
      <c r="A32" s="7">
        <f>IF(OR(B32&gt;0,E32&gt;0),TODAY(),"")</f>
        <v/>
      </c>
      <c r="B32" s="5" t="n"/>
      <c r="C32" s="9">
        <f>IF(A32="","",SUMIFS(tblXarajatlar[Summa],tblXarajatlar[Sana],A32))</f>
        <v/>
      </c>
      <c r="D32" s="9">
        <f>IF(A32="","",SUMIFS(tblTovargaPul[Summa],tblTovargaPul[Sana],A32))</f>
        <v/>
      </c>
      <c r="E32" s="5" t="n"/>
      <c r="F32" s="9">
        <f>IF(A32="","",SUM(C32:E32))</f>
        <v/>
      </c>
      <c r="G32" s="9">
        <f>IF(A32="","",B32-F32)</f>
        <v/>
      </c>
      <c r="H32" s="9">
        <f>IF(A32="","",IF(H31="",StartCash+G32,H31+G32))</f>
        <v/>
      </c>
    </row>
    <row r="33">
      <c r="A33" s="7">
        <f>IF(OR(B33&gt;0,E33&gt;0),TODAY(),"")</f>
        <v/>
      </c>
      <c r="B33" s="5" t="n"/>
      <c r="C33" s="9">
        <f>IF(A33="","",SUMIFS(tblXarajatlar[Summa],tblXarajatlar[Sana],A33))</f>
        <v/>
      </c>
      <c r="D33" s="9">
        <f>IF(A33="","",SUMIFS(tblTovargaPul[Summa],tblTovargaPul[Sana],A33))</f>
        <v/>
      </c>
      <c r="E33" s="5" t="n"/>
      <c r="F33" s="9">
        <f>IF(A33="","",SUM(C33:E33))</f>
        <v/>
      </c>
      <c r="G33" s="9">
        <f>IF(A33="","",B33-F33)</f>
        <v/>
      </c>
      <c r="H33" s="9">
        <f>IF(A33="","",IF(H32="",StartCash+G33,H32+G33))</f>
        <v/>
      </c>
    </row>
    <row r="34">
      <c r="A34" s="7">
        <f>IF(OR(B34&gt;0,E34&gt;0),TODAY(),"")</f>
        <v/>
      </c>
      <c r="B34" s="5" t="n"/>
      <c r="C34" s="9">
        <f>IF(A34="","",SUMIFS(tblXarajatlar[Summa],tblXarajatlar[Sana],A34))</f>
        <v/>
      </c>
      <c r="D34" s="9">
        <f>IF(A34="","",SUMIFS(tblTovargaPul[Summa],tblTovargaPul[Sana],A34))</f>
        <v/>
      </c>
      <c r="E34" s="5" t="n"/>
      <c r="F34" s="9">
        <f>IF(A34="","",SUM(C34:E34))</f>
        <v/>
      </c>
      <c r="G34" s="9">
        <f>IF(A34="","",B34-F34)</f>
        <v/>
      </c>
      <c r="H34" s="9">
        <f>IF(A34="","",IF(H33="",StartCash+G34,H33+G34))</f>
        <v/>
      </c>
    </row>
    <row r="35">
      <c r="A35" s="7">
        <f>IF(OR(B35&gt;0,E35&gt;0),TODAY(),"")</f>
        <v/>
      </c>
      <c r="B35" s="5" t="n"/>
      <c r="C35" s="9">
        <f>IF(A35="","",SUMIFS(tblXarajatlar[Summa],tblXarajatlar[Sana],A35))</f>
        <v/>
      </c>
      <c r="D35" s="9">
        <f>IF(A35="","",SUMIFS(tblTovargaPul[Summa],tblTovargaPul[Sana],A35))</f>
        <v/>
      </c>
      <c r="E35" s="5" t="n"/>
      <c r="F35" s="9">
        <f>IF(A35="","",SUM(C35:E35))</f>
        <v/>
      </c>
      <c r="G35" s="9">
        <f>IF(A35="","",B35-F35)</f>
        <v/>
      </c>
      <c r="H35" s="9">
        <f>IF(A35="","",IF(H34="",StartCash+G35,H34+G35))</f>
        <v/>
      </c>
    </row>
    <row r="36">
      <c r="A36" s="7">
        <f>IF(OR(B36&gt;0,E36&gt;0),TODAY(),"")</f>
        <v/>
      </c>
      <c r="B36" s="5" t="n"/>
      <c r="C36" s="9">
        <f>IF(A36="","",SUMIFS(tblXarajatlar[Summa],tblXarajatlar[Sana],A36))</f>
        <v/>
      </c>
      <c r="D36" s="9">
        <f>IF(A36="","",SUMIFS(tblTovargaPul[Summa],tblTovargaPul[Sana],A36))</f>
        <v/>
      </c>
      <c r="E36" s="5" t="n"/>
      <c r="F36" s="9">
        <f>IF(A36="","",SUM(C36:E36))</f>
        <v/>
      </c>
      <c r="G36" s="9">
        <f>IF(A36="","",B36-F36)</f>
        <v/>
      </c>
      <c r="H36" s="9">
        <f>IF(A36="","",IF(H35="",StartCash+G36,H35+G36))</f>
        <v/>
      </c>
    </row>
    <row r="37">
      <c r="A37" s="7">
        <f>IF(OR(B37&gt;0,E37&gt;0),TODAY(),"")</f>
        <v/>
      </c>
      <c r="B37" s="5" t="n"/>
      <c r="C37" s="9">
        <f>IF(A37="","",SUMIFS(tblXarajatlar[Summa],tblXarajatlar[Sana],A37))</f>
        <v/>
      </c>
      <c r="D37" s="9">
        <f>IF(A37="","",SUMIFS(tblTovargaPul[Summa],tblTovargaPul[Sana],A37))</f>
        <v/>
      </c>
      <c r="E37" s="5" t="n"/>
      <c r="F37" s="9">
        <f>IF(A37="","",SUM(C37:E37))</f>
        <v/>
      </c>
      <c r="G37" s="9">
        <f>IF(A37="","",B37-F37)</f>
        <v/>
      </c>
      <c r="H37" s="9">
        <f>IF(A37="","",IF(H36="",StartCash+G37,H36+G37))</f>
        <v/>
      </c>
    </row>
    <row r="38">
      <c r="A38" s="7">
        <f>IF(OR(B38&gt;0,E38&gt;0),TODAY(),"")</f>
        <v/>
      </c>
      <c r="B38" s="5" t="n"/>
      <c r="C38" s="9">
        <f>IF(A38="","",SUMIFS(tblXarajatlar[Summa],tblXarajatlar[Sana],A38))</f>
        <v/>
      </c>
      <c r="D38" s="9">
        <f>IF(A38="","",SUMIFS(tblTovargaPul[Summa],tblTovargaPul[Sana],A38))</f>
        <v/>
      </c>
      <c r="E38" s="5" t="n"/>
      <c r="F38" s="9">
        <f>IF(A38="","",SUM(C38:E38))</f>
        <v/>
      </c>
      <c r="G38" s="9">
        <f>IF(A38="","",B38-F38)</f>
        <v/>
      </c>
      <c r="H38" s="9">
        <f>IF(A38="","",IF(H37="",StartCash+G38,H37+G38))</f>
        <v/>
      </c>
    </row>
    <row r="39">
      <c r="A39" s="7">
        <f>IF(OR(B39&gt;0,E39&gt;0),TODAY(),"")</f>
        <v/>
      </c>
      <c r="B39" s="5" t="n"/>
      <c r="C39" s="9">
        <f>IF(A39="","",SUMIFS(tblXarajatlar[Summa],tblXarajatlar[Sana],A39))</f>
        <v/>
      </c>
      <c r="D39" s="9">
        <f>IF(A39="","",SUMIFS(tblTovargaPul[Summa],tblTovargaPul[Sana],A39))</f>
        <v/>
      </c>
      <c r="E39" s="5" t="n"/>
      <c r="F39" s="9">
        <f>IF(A39="","",SUM(C39:E39))</f>
        <v/>
      </c>
      <c r="G39" s="9">
        <f>IF(A39="","",B39-F39)</f>
        <v/>
      </c>
      <c r="H39" s="9">
        <f>IF(A39="","",IF(H38="",StartCash+G39,H38+G39))</f>
        <v/>
      </c>
    </row>
    <row r="40">
      <c r="A40" s="7">
        <f>IF(OR(B40&gt;0,E40&gt;0),TODAY(),"")</f>
        <v/>
      </c>
      <c r="B40" s="5" t="n"/>
      <c r="C40" s="9">
        <f>IF(A40="","",SUMIFS(tblXarajatlar[Summa],tblXarajatlar[Sana],A40))</f>
        <v/>
      </c>
      <c r="D40" s="9">
        <f>IF(A40="","",SUMIFS(tblTovargaPul[Summa],tblTovargaPul[Sana],A40))</f>
        <v/>
      </c>
      <c r="E40" s="5" t="n"/>
      <c r="F40" s="9">
        <f>IF(A40="","",SUM(C40:E40))</f>
        <v/>
      </c>
      <c r="G40" s="9">
        <f>IF(A40="","",B40-F40)</f>
        <v/>
      </c>
      <c r="H40" s="9">
        <f>IF(A40="","",IF(H39="",StartCash+G40,H39+G40))</f>
        <v/>
      </c>
    </row>
    <row r="41">
      <c r="A41" s="7">
        <f>IF(OR(B41&gt;0,E41&gt;0),TODAY(),"")</f>
        <v/>
      </c>
      <c r="B41" s="5" t="n"/>
      <c r="C41" s="9">
        <f>IF(A41="","",SUMIFS(tblXarajatlar[Summa],tblXarajatlar[Sana],A41))</f>
        <v/>
      </c>
      <c r="D41" s="9">
        <f>IF(A41="","",SUMIFS(tblTovargaPul[Summa],tblTovargaPul[Sana],A41))</f>
        <v/>
      </c>
      <c r="E41" s="5" t="n"/>
      <c r="F41" s="9">
        <f>IF(A41="","",SUM(C41:E41))</f>
        <v/>
      </c>
      <c r="G41" s="9">
        <f>IF(A41="","",B41-F41)</f>
        <v/>
      </c>
      <c r="H41" s="9">
        <f>IF(A41="","",IF(H40="",StartCash+G41,H40+G41))</f>
        <v/>
      </c>
    </row>
    <row r="42">
      <c r="A42" s="7">
        <f>IF(OR(B42&gt;0,E42&gt;0),TODAY(),"")</f>
        <v/>
      </c>
      <c r="B42" s="5" t="n"/>
      <c r="C42" s="9">
        <f>IF(A42="","",SUMIFS(tblXarajatlar[Summa],tblXarajatlar[Sana],A42))</f>
        <v/>
      </c>
      <c r="D42" s="9">
        <f>IF(A42="","",SUMIFS(tblTovargaPul[Summa],tblTovargaPul[Sana],A42))</f>
        <v/>
      </c>
      <c r="E42" s="5" t="n"/>
      <c r="F42" s="9">
        <f>IF(A42="","",SUM(C42:E42))</f>
        <v/>
      </c>
      <c r="G42" s="9">
        <f>IF(A42="","",B42-F42)</f>
        <v/>
      </c>
      <c r="H42" s="9">
        <f>IF(A42="","",IF(H41="",StartCash+G42,H41+G42))</f>
        <v/>
      </c>
    </row>
    <row r="43">
      <c r="A43" s="7">
        <f>IF(OR(B43&gt;0,E43&gt;0),TODAY(),"")</f>
        <v/>
      </c>
      <c r="B43" s="5" t="n"/>
      <c r="C43" s="9">
        <f>IF(A43="","",SUMIFS(tblXarajatlar[Summa],tblXarajatlar[Sana],A43))</f>
        <v/>
      </c>
      <c r="D43" s="9">
        <f>IF(A43="","",SUMIFS(tblTovargaPul[Summa],tblTovargaPul[Sana],A43))</f>
        <v/>
      </c>
      <c r="E43" s="5" t="n"/>
      <c r="F43" s="9">
        <f>IF(A43="","",SUM(C43:E43))</f>
        <v/>
      </c>
      <c r="G43" s="9">
        <f>IF(A43="","",B43-F43)</f>
        <v/>
      </c>
      <c r="H43" s="9">
        <f>IF(A43="","",IF(H42="",StartCash+G43,H42+G43))</f>
        <v/>
      </c>
    </row>
    <row r="44">
      <c r="A44" s="7">
        <f>IF(OR(B44&gt;0,E44&gt;0),TODAY(),"")</f>
        <v/>
      </c>
      <c r="B44" s="5" t="n"/>
      <c r="C44" s="9">
        <f>IF(A44="","",SUMIFS(tblXarajatlar[Summa],tblXarajatlar[Sana],A44))</f>
        <v/>
      </c>
      <c r="D44" s="9">
        <f>IF(A44="","",SUMIFS(tblTovargaPul[Summa],tblTovargaPul[Sana],A44))</f>
        <v/>
      </c>
      <c r="E44" s="5" t="n"/>
      <c r="F44" s="9">
        <f>IF(A44="","",SUM(C44:E44))</f>
        <v/>
      </c>
      <c r="G44" s="9">
        <f>IF(A44="","",B44-F44)</f>
        <v/>
      </c>
      <c r="H44" s="9">
        <f>IF(A44="","",IF(H43="",StartCash+G44,H43+G44))</f>
        <v/>
      </c>
    </row>
    <row r="45">
      <c r="A45" s="7">
        <f>IF(OR(B45&gt;0,E45&gt;0),TODAY(),"")</f>
        <v/>
      </c>
      <c r="B45" s="5" t="n"/>
      <c r="C45" s="9">
        <f>IF(A45="","",SUMIFS(tblXarajatlar[Summa],tblXarajatlar[Sana],A45))</f>
        <v/>
      </c>
      <c r="D45" s="9">
        <f>IF(A45="","",SUMIFS(tblTovargaPul[Summa],tblTovargaPul[Sana],A45))</f>
        <v/>
      </c>
      <c r="E45" s="5" t="n"/>
      <c r="F45" s="9">
        <f>IF(A45="","",SUM(C45:E45))</f>
        <v/>
      </c>
      <c r="G45" s="9">
        <f>IF(A45="","",B45-F45)</f>
        <v/>
      </c>
      <c r="H45" s="9">
        <f>IF(A45="","",IF(H44="",StartCash+G45,H44+G45))</f>
        <v/>
      </c>
    </row>
    <row r="46">
      <c r="A46" s="7">
        <f>IF(OR(B46&gt;0,E46&gt;0),TODAY(),"")</f>
        <v/>
      </c>
      <c r="B46" s="5" t="n"/>
      <c r="C46" s="9">
        <f>IF(A46="","",SUMIFS(tblXarajatlar[Summa],tblXarajatlar[Sana],A46))</f>
        <v/>
      </c>
      <c r="D46" s="9">
        <f>IF(A46="","",SUMIFS(tblTovargaPul[Summa],tblTovargaPul[Sana],A46))</f>
        <v/>
      </c>
      <c r="E46" s="5" t="n"/>
      <c r="F46" s="9">
        <f>IF(A46="","",SUM(C46:E46))</f>
        <v/>
      </c>
      <c r="G46" s="9">
        <f>IF(A46="","",B46-F46)</f>
        <v/>
      </c>
      <c r="H46" s="9">
        <f>IF(A46="","",IF(H45="",StartCash+G46,H45+G46))</f>
        <v/>
      </c>
    </row>
    <row r="47">
      <c r="A47" s="7">
        <f>IF(OR(B47&gt;0,E47&gt;0),TODAY(),"")</f>
        <v/>
      </c>
      <c r="B47" s="5" t="n"/>
      <c r="C47" s="9">
        <f>IF(A47="","",SUMIFS(tblXarajatlar[Summa],tblXarajatlar[Sana],A47))</f>
        <v/>
      </c>
      <c r="D47" s="9">
        <f>IF(A47="","",SUMIFS(tblTovargaPul[Summa],tblTovargaPul[Sana],A47))</f>
        <v/>
      </c>
      <c r="E47" s="5" t="n"/>
      <c r="F47" s="9">
        <f>IF(A47="","",SUM(C47:E47))</f>
        <v/>
      </c>
      <c r="G47" s="9">
        <f>IF(A47="","",B47-F47)</f>
        <v/>
      </c>
      <c r="H47" s="9">
        <f>IF(A47="","",IF(H46="",StartCash+G47,H46+G47))</f>
        <v/>
      </c>
    </row>
    <row r="48">
      <c r="A48" s="7">
        <f>IF(OR(B48&gt;0,E48&gt;0),TODAY(),"")</f>
        <v/>
      </c>
      <c r="B48" s="5" t="n"/>
      <c r="C48" s="9">
        <f>IF(A48="","",SUMIFS(tblXarajatlar[Summa],tblXarajatlar[Sana],A48))</f>
        <v/>
      </c>
      <c r="D48" s="9">
        <f>IF(A48="","",SUMIFS(tblTovargaPul[Summa],tblTovargaPul[Sana],A48))</f>
        <v/>
      </c>
      <c r="E48" s="5" t="n"/>
      <c r="F48" s="9">
        <f>IF(A48="","",SUM(C48:E48))</f>
        <v/>
      </c>
      <c r="G48" s="9">
        <f>IF(A48="","",B48-F48)</f>
        <v/>
      </c>
      <c r="H48" s="9">
        <f>IF(A48="","",IF(H47="",StartCash+G48,H47+G48))</f>
        <v/>
      </c>
    </row>
    <row r="49">
      <c r="A49" s="7">
        <f>IF(OR(B49&gt;0,E49&gt;0),TODAY(),"")</f>
        <v/>
      </c>
      <c r="B49" s="5" t="n"/>
      <c r="C49" s="9">
        <f>IF(A49="","",SUMIFS(tblXarajatlar[Summa],tblXarajatlar[Sana],A49))</f>
        <v/>
      </c>
      <c r="D49" s="9">
        <f>IF(A49="","",SUMIFS(tblTovargaPul[Summa],tblTovargaPul[Sana],A49))</f>
        <v/>
      </c>
      <c r="E49" s="5" t="n"/>
      <c r="F49" s="9">
        <f>IF(A49="","",SUM(C49:E49))</f>
        <v/>
      </c>
      <c r="G49" s="9">
        <f>IF(A49="","",B49-F49)</f>
        <v/>
      </c>
      <c r="H49" s="9">
        <f>IF(A49="","",IF(H48="",StartCash+G49,H48+G49))</f>
        <v/>
      </c>
    </row>
    <row r="50">
      <c r="A50" s="7">
        <f>IF(OR(B50&gt;0,E50&gt;0),TODAY(),"")</f>
        <v/>
      </c>
      <c r="B50" s="5" t="n"/>
      <c r="C50" s="9">
        <f>IF(A50="","",SUMIFS(tblXarajatlar[Summa],tblXarajatlar[Sana],A50))</f>
        <v/>
      </c>
      <c r="D50" s="9">
        <f>IF(A50="","",SUMIFS(tblTovargaPul[Summa],tblTovargaPul[Sana],A50))</f>
        <v/>
      </c>
      <c r="E50" s="5" t="n"/>
      <c r="F50" s="9">
        <f>IF(A50="","",SUM(C50:E50))</f>
        <v/>
      </c>
      <c r="G50" s="9">
        <f>IF(A50="","",B50-F50)</f>
        <v/>
      </c>
      <c r="H50" s="9">
        <f>IF(A50="","",IF(H49="",StartCash+G50,H49+G50))</f>
        <v/>
      </c>
    </row>
    <row r="51">
      <c r="A51" s="7">
        <f>IF(OR(B51&gt;0,E51&gt;0),TODAY(),"")</f>
        <v/>
      </c>
      <c r="B51" s="5" t="n"/>
      <c r="C51" s="9">
        <f>IF(A51="","",SUMIFS(tblXarajatlar[Summa],tblXarajatlar[Sana],A51))</f>
        <v/>
      </c>
      <c r="D51" s="9">
        <f>IF(A51="","",SUMIFS(tblTovargaPul[Summa],tblTovargaPul[Sana],A51))</f>
        <v/>
      </c>
      <c r="E51" s="5" t="n"/>
      <c r="F51" s="9">
        <f>IF(A51="","",SUM(C51:E51))</f>
        <v/>
      </c>
      <c r="G51" s="9">
        <f>IF(A51="","",B51-F51)</f>
        <v/>
      </c>
      <c r="H51" s="9">
        <f>IF(A51="","",IF(H50="",StartCash+G51,H50+G51))</f>
        <v/>
      </c>
    </row>
    <row r="52">
      <c r="A52" s="7">
        <f>IF(OR(B52&gt;0,E52&gt;0),TODAY(),"")</f>
        <v/>
      </c>
      <c r="B52" s="5" t="n"/>
      <c r="C52" s="9">
        <f>IF(A52="","",SUMIFS(tblXarajatlar[Summa],tblXarajatlar[Sana],A52))</f>
        <v/>
      </c>
      <c r="D52" s="9">
        <f>IF(A52="","",SUMIFS(tblTovargaPul[Summa],tblTovargaPul[Sana],A52))</f>
        <v/>
      </c>
      <c r="E52" s="5" t="n"/>
      <c r="F52" s="9">
        <f>IF(A52="","",SUM(C52:E52))</f>
        <v/>
      </c>
      <c r="G52" s="9">
        <f>IF(A52="","",B52-F52)</f>
        <v/>
      </c>
      <c r="H52" s="9">
        <f>IF(A52="","",IF(H51="",StartCash+G52,H51+G52))</f>
        <v/>
      </c>
    </row>
    <row r="53">
      <c r="A53" s="7">
        <f>IF(OR(B53&gt;0,E53&gt;0),TODAY(),"")</f>
        <v/>
      </c>
      <c r="B53" s="5" t="n"/>
      <c r="C53" s="9">
        <f>IF(A53="","",SUMIFS(tblXarajatlar[Summa],tblXarajatlar[Sana],A53))</f>
        <v/>
      </c>
      <c r="D53" s="9">
        <f>IF(A53="","",SUMIFS(tblTovargaPul[Summa],tblTovargaPul[Sana],A53))</f>
        <v/>
      </c>
      <c r="E53" s="5" t="n"/>
      <c r="F53" s="9">
        <f>IF(A53="","",SUM(C53:E53))</f>
        <v/>
      </c>
      <c r="G53" s="9">
        <f>IF(A53="","",B53-F53)</f>
        <v/>
      </c>
      <c r="H53" s="9">
        <f>IF(A53="","",IF(H52="",StartCash+G53,H52+G53))</f>
        <v/>
      </c>
    </row>
    <row r="54">
      <c r="A54" s="7">
        <f>IF(OR(B54&gt;0,E54&gt;0),TODAY(),"")</f>
        <v/>
      </c>
      <c r="B54" s="5" t="n"/>
      <c r="C54" s="9">
        <f>IF(A54="","",SUMIFS(tblXarajatlar[Summa],tblXarajatlar[Sana],A54))</f>
        <v/>
      </c>
      <c r="D54" s="9">
        <f>IF(A54="","",SUMIFS(tblTovargaPul[Summa],tblTovargaPul[Sana],A54))</f>
        <v/>
      </c>
      <c r="E54" s="5" t="n"/>
      <c r="F54" s="9">
        <f>IF(A54="","",SUM(C54:E54))</f>
        <v/>
      </c>
      <c r="G54" s="9">
        <f>IF(A54="","",B54-F54)</f>
        <v/>
      </c>
      <c r="H54" s="9">
        <f>IF(A54="","",IF(H53="",StartCash+G54,H53+G54))</f>
        <v/>
      </c>
    </row>
    <row r="55">
      <c r="A55" s="7">
        <f>IF(OR(B55&gt;0,E55&gt;0),TODAY(),"")</f>
        <v/>
      </c>
      <c r="B55" s="5" t="n"/>
      <c r="C55" s="9">
        <f>IF(A55="","",SUMIFS(tblXarajatlar[Summa],tblXarajatlar[Sana],A55))</f>
        <v/>
      </c>
      <c r="D55" s="9">
        <f>IF(A55="","",SUMIFS(tblTovargaPul[Summa],tblTovargaPul[Sana],A55))</f>
        <v/>
      </c>
      <c r="E55" s="5" t="n"/>
      <c r="F55" s="9">
        <f>IF(A55="","",SUM(C55:E55))</f>
        <v/>
      </c>
      <c r="G55" s="9">
        <f>IF(A55="","",B55-F55)</f>
        <v/>
      </c>
      <c r="H55" s="9">
        <f>IF(A55="","",IF(H54="",StartCash+G55,H54+G55))</f>
        <v/>
      </c>
    </row>
    <row r="56">
      <c r="A56" s="7">
        <f>IF(OR(B56&gt;0,E56&gt;0),TODAY(),"")</f>
        <v/>
      </c>
      <c r="B56" s="5" t="n"/>
      <c r="C56" s="9">
        <f>IF(A56="","",SUMIFS(tblXarajatlar[Summa],tblXarajatlar[Sana],A56))</f>
        <v/>
      </c>
      <c r="D56" s="9">
        <f>IF(A56="","",SUMIFS(tblTovargaPul[Summa],tblTovargaPul[Sana],A56))</f>
        <v/>
      </c>
      <c r="E56" s="5" t="n"/>
      <c r="F56" s="9">
        <f>IF(A56="","",SUM(C56:E56))</f>
        <v/>
      </c>
      <c r="G56" s="9">
        <f>IF(A56="","",B56-F56)</f>
        <v/>
      </c>
      <c r="H56" s="9">
        <f>IF(A56="","",IF(H55="",StartCash+G56,H55+G56))</f>
        <v/>
      </c>
    </row>
    <row r="57">
      <c r="A57" s="7">
        <f>IF(OR(B57&gt;0,E57&gt;0),TODAY(),"")</f>
        <v/>
      </c>
      <c r="B57" s="5" t="n"/>
      <c r="C57" s="9">
        <f>IF(A57="","",SUMIFS(tblXarajatlar[Summa],tblXarajatlar[Sana],A57))</f>
        <v/>
      </c>
      <c r="D57" s="9">
        <f>IF(A57="","",SUMIFS(tblTovargaPul[Summa],tblTovargaPul[Sana],A57))</f>
        <v/>
      </c>
      <c r="E57" s="5" t="n"/>
      <c r="F57" s="9">
        <f>IF(A57="","",SUM(C57:E57))</f>
        <v/>
      </c>
      <c r="G57" s="9">
        <f>IF(A57="","",B57-F57)</f>
        <v/>
      </c>
      <c r="H57" s="9">
        <f>IF(A57="","",IF(H56="",StartCash+G57,H56+G57))</f>
        <v/>
      </c>
    </row>
    <row r="58">
      <c r="A58" s="7">
        <f>IF(OR(B58&gt;0,E58&gt;0),TODAY(),"")</f>
        <v/>
      </c>
      <c r="B58" s="5" t="n"/>
      <c r="C58" s="9">
        <f>IF(A58="","",SUMIFS(tblXarajatlar[Summa],tblXarajatlar[Sana],A58))</f>
        <v/>
      </c>
      <c r="D58" s="9">
        <f>IF(A58="","",SUMIFS(tblTovargaPul[Summa],tblTovargaPul[Sana],A58))</f>
        <v/>
      </c>
      <c r="E58" s="5" t="n"/>
      <c r="F58" s="9">
        <f>IF(A58="","",SUM(C58:E58))</f>
        <v/>
      </c>
      <c r="G58" s="9">
        <f>IF(A58="","",B58-F58)</f>
        <v/>
      </c>
      <c r="H58" s="9">
        <f>IF(A58="","",IF(H57="",StartCash+G58,H57+G58))</f>
        <v/>
      </c>
    </row>
    <row r="59">
      <c r="A59" s="7">
        <f>IF(OR(B59&gt;0,E59&gt;0),TODAY(),"")</f>
        <v/>
      </c>
      <c r="B59" s="5" t="n"/>
      <c r="C59" s="9">
        <f>IF(A59="","",SUMIFS(tblXarajatlar[Summa],tblXarajatlar[Sana],A59))</f>
        <v/>
      </c>
      <c r="D59" s="9">
        <f>IF(A59="","",SUMIFS(tblTovargaPul[Summa],tblTovargaPul[Sana],A59))</f>
        <v/>
      </c>
      <c r="E59" s="5" t="n"/>
      <c r="F59" s="9">
        <f>IF(A59="","",SUM(C59:E59))</f>
        <v/>
      </c>
      <c r="G59" s="9">
        <f>IF(A59="","",B59-F59)</f>
        <v/>
      </c>
      <c r="H59" s="9">
        <f>IF(A59="","",IF(H58="",StartCash+G59,H58+G59))</f>
        <v/>
      </c>
    </row>
    <row r="60">
      <c r="A60" s="7">
        <f>IF(OR(B60&gt;0,E60&gt;0),TODAY(),"")</f>
        <v/>
      </c>
      <c r="B60" s="5" t="n"/>
      <c r="C60" s="9">
        <f>IF(A60="","",SUMIFS(tblXarajatlar[Summa],tblXarajatlar[Sana],A60))</f>
        <v/>
      </c>
      <c r="D60" s="9">
        <f>IF(A60="","",SUMIFS(tblTovargaPul[Summa],tblTovargaPul[Sana],A60))</f>
        <v/>
      </c>
      <c r="E60" s="5" t="n"/>
      <c r="F60" s="9">
        <f>IF(A60="","",SUM(C60:E60))</f>
        <v/>
      </c>
      <c r="G60" s="9">
        <f>IF(A60="","",B60-F60)</f>
        <v/>
      </c>
      <c r="H60" s="9">
        <f>IF(A60="","",IF(H59="",StartCash+G60,H59+G60))</f>
        <v/>
      </c>
    </row>
    <row r="61">
      <c r="A61" s="7">
        <f>IF(OR(B61&gt;0,E61&gt;0),TODAY(),"")</f>
        <v/>
      </c>
      <c r="B61" s="5" t="n"/>
      <c r="C61" s="9">
        <f>IF(A61="","",SUMIFS(tblXarajatlar[Summa],tblXarajatlar[Sana],A61))</f>
        <v/>
      </c>
      <c r="D61" s="9">
        <f>IF(A61="","",SUMIFS(tblTovargaPul[Summa],tblTovargaPul[Sana],A61))</f>
        <v/>
      </c>
      <c r="E61" s="5" t="n"/>
      <c r="F61" s="9">
        <f>IF(A61="","",SUM(C61:E61))</f>
        <v/>
      </c>
      <c r="G61" s="9">
        <f>IF(A61="","",B61-F61)</f>
        <v/>
      </c>
      <c r="H61" s="9">
        <f>IF(A61="","",IF(H60="",StartCash+G61,H60+G61))</f>
        <v/>
      </c>
    </row>
    <row r="62">
      <c r="A62" s="7">
        <f>IF(OR(B62&gt;0,E62&gt;0),TODAY(),"")</f>
        <v/>
      </c>
      <c r="B62" s="5" t="n"/>
      <c r="C62" s="9">
        <f>IF(A62="","",SUMIFS(tblXarajatlar[Summa],tblXarajatlar[Sana],A62))</f>
        <v/>
      </c>
      <c r="D62" s="9">
        <f>IF(A62="","",SUMIFS(tblTovargaPul[Summa],tblTovargaPul[Sana],A62))</f>
        <v/>
      </c>
      <c r="E62" s="5" t="n"/>
      <c r="F62" s="9">
        <f>IF(A62="","",SUM(C62:E62))</f>
        <v/>
      </c>
      <c r="G62" s="9">
        <f>IF(A62="","",B62-F62)</f>
        <v/>
      </c>
      <c r="H62" s="9">
        <f>IF(A62="","",IF(H61="",StartCash+G62,H61+G62))</f>
        <v/>
      </c>
    </row>
    <row r="63">
      <c r="A63" s="7">
        <f>IF(OR(B63&gt;0,E63&gt;0),TODAY(),"")</f>
        <v/>
      </c>
      <c r="B63" s="5" t="n"/>
      <c r="C63" s="9">
        <f>IF(A63="","",SUMIFS(tblXarajatlar[Summa],tblXarajatlar[Sana],A63))</f>
        <v/>
      </c>
      <c r="D63" s="9">
        <f>IF(A63="","",SUMIFS(tblTovargaPul[Summa],tblTovargaPul[Sana],A63))</f>
        <v/>
      </c>
      <c r="E63" s="5" t="n"/>
      <c r="F63" s="9">
        <f>IF(A63="","",SUM(C63:E63))</f>
        <v/>
      </c>
      <c r="G63" s="9">
        <f>IF(A63="","",B63-F63)</f>
        <v/>
      </c>
      <c r="H63" s="9">
        <f>IF(A63="","",IF(H62="",StartCash+G63,H62+G63))</f>
        <v/>
      </c>
    </row>
    <row r="64">
      <c r="A64" s="7">
        <f>IF(OR(B64&gt;0,E64&gt;0),TODAY(),"")</f>
        <v/>
      </c>
      <c r="B64" s="5" t="n"/>
      <c r="C64" s="9">
        <f>IF(A64="","",SUMIFS(tblXarajatlar[Summa],tblXarajatlar[Sana],A64))</f>
        <v/>
      </c>
      <c r="D64" s="9">
        <f>IF(A64="","",SUMIFS(tblTovargaPul[Summa],tblTovargaPul[Sana],A64))</f>
        <v/>
      </c>
      <c r="E64" s="5" t="n"/>
      <c r="F64" s="9">
        <f>IF(A64="","",SUM(C64:E64))</f>
        <v/>
      </c>
      <c r="G64" s="9">
        <f>IF(A64="","",B64-F64)</f>
        <v/>
      </c>
      <c r="H64" s="9">
        <f>IF(A64="","",IF(H63="",StartCash+G64,H63+G64))</f>
        <v/>
      </c>
    </row>
    <row r="65">
      <c r="A65" s="7">
        <f>IF(OR(B65&gt;0,E65&gt;0),TODAY(),"")</f>
        <v/>
      </c>
      <c r="B65" s="5" t="n"/>
      <c r="C65" s="9">
        <f>IF(A65="","",SUMIFS(tblXarajatlar[Summa],tblXarajatlar[Sana],A65))</f>
        <v/>
      </c>
      <c r="D65" s="9">
        <f>IF(A65="","",SUMIFS(tblTovargaPul[Summa],tblTovargaPul[Sana],A65))</f>
        <v/>
      </c>
      <c r="E65" s="5" t="n"/>
      <c r="F65" s="9">
        <f>IF(A65="","",SUM(C65:E65))</f>
        <v/>
      </c>
      <c r="G65" s="9">
        <f>IF(A65="","",B65-F65)</f>
        <v/>
      </c>
      <c r="H65" s="9">
        <f>IF(A65="","",IF(H64="",StartCash+G65,H64+G65))</f>
        <v/>
      </c>
    </row>
    <row r="66">
      <c r="A66" s="7">
        <f>IF(OR(B66&gt;0,E66&gt;0),TODAY(),"")</f>
        <v/>
      </c>
      <c r="B66" s="5" t="n"/>
      <c r="C66" s="9">
        <f>IF(A66="","",SUMIFS(tblXarajatlar[Summa],tblXarajatlar[Sana],A66))</f>
        <v/>
      </c>
      <c r="D66" s="9">
        <f>IF(A66="","",SUMIFS(tblTovargaPul[Summa],tblTovargaPul[Sana],A66))</f>
        <v/>
      </c>
      <c r="E66" s="5" t="n"/>
      <c r="F66" s="9">
        <f>IF(A66="","",SUM(C66:E66))</f>
        <v/>
      </c>
      <c r="G66" s="9">
        <f>IF(A66="","",B66-F66)</f>
        <v/>
      </c>
      <c r="H66" s="9">
        <f>IF(A66="","",IF(H65="",StartCash+G66,H65+G66))</f>
        <v/>
      </c>
    </row>
    <row r="67">
      <c r="A67" s="7">
        <f>IF(OR(B67&gt;0,E67&gt;0),TODAY(),"")</f>
        <v/>
      </c>
      <c r="B67" s="5" t="n"/>
      <c r="C67" s="9">
        <f>IF(A67="","",SUMIFS(tblXarajatlar[Summa],tblXarajatlar[Sana],A67))</f>
        <v/>
      </c>
      <c r="D67" s="9">
        <f>IF(A67="","",SUMIFS(tblTovargaPul[Summa],tblTovargaPul[Sana],A67))</f>
        <v/>
      </c>
      <c r="E67" s="5" t="n"/>
      <c r="F67" s="9">
        <f>IF(A67="","",SUM(C67:E67))</f>
        <v/>
      </c>
      <c r="G67" s="9">
        <f>IF(A67="","",B67-F67)</f>
        <v/>
      </c>
      <c r="H67" s="9">
        <f>IF(A67="","",IF(H66="",StartCash+G67,H66+G67))</f>
        <v/>
      </c>
    </row>
    <row r="68">
      <c r="A68" s="7">
        <f>IF(OR(B68&gt;0,E68&gt;0),TODAY(),"")</f>
        <v/>
      </c>
      <c r="B68" s="5" t="n"/>
      <c r="C68" s="9">
        <f>IF(A68="","",SUMIFS(tblXarajatlar[Summa],tblXarajatlar[Sana],A68))</f>
        <v/>
      </c>
      <c r="D68" s="9">
        <f>IF(A68="","",SUMIFS(tblTovargaPul[Summa],tblTovargaPul[Sana],A68))</f>
        <v/>
      </c>
      <c r="E68" s="5" t="n"/>
      <c r="F68" s="9">
        <f>IF(A68="","",SUM(C68:E68))</f>
        <v/>
      </c>
      <c r="G68" s="9">
        <f>IF(A68="","",B68-F68)</f>
        <v/>
      </c>
      <c r="H68" s="9">
        <f>IF(A68="","",IF(H67="",StartCash+G68,H67+G68))</f>
        <v/>
      </c>
    </row>
    <row r="69">
      <c r="A69" s="7">
        <f>IF(OR(B69&gt;0,E69&gt;0),TODAY(),"")</f>
        <v/>
      </c>
      <c r="B69" s="5" t="n"/>
      <c r="C69" s="9">
        <f>IF(A69="","",SUMIFS(tblXarajatlar[Summa],tblXarajatlar[Sana],A69))</f>
        <v/>
      </c>
      <c r="D69" s="9">
        <f>IF(A69="","",SUMIFS(tblTovargaPul[Summa],tblTovargaPul[Sana],A69))</f>
        <v/>
      </c>
      <c r="E69" s="5" t="n"/>
      <c r="F69" s="9">
        <f>IF(A69="","",SUM(C69:E69))</f>
        <v/>
      </c>
      <c r="G69" s="9">
        <f>IF(A69="","",B69-F69)</f>
        <v/>
      </c>
      <c r="H69" s="9">
        <f>IF(A69="","",IF(H68="",StartCash+G69,H68+G69))</f>
        <v/>
      </c>
    </row>
    <row r="70">
      <c r="A70" s="7">
        <f>IF(OR(B70&gt;0,E70&gt;0),TODAY(),"")</f>
        <v/>
      </c>
      <c r="B70" s="5" t="n"/>
      <c r="C70" s="9">
        <f>IF(A70="","",SUMIFS(tblXarajatlar[Summa],tblXarajatlar[Sana],A70))</f>
        <v/>
      </c>
      <c r="D70" s="9">
        <f>IF(A70="","",SUMIFS(tblTovargaPul[Summa],tblTovargaPul[Sana],A70))</f>
        <v/>
      </c>
      <c r="E70" s="5" t="n"/>
      <c r="F70" s="9">
        <f>IF(A70="","",SUM(C70:E70))</f>
        <v/>
      </c>
      <c r="G70" s="9">
        <f>IF(A70="","",B70-F70)</f>
        <v/>
      </c>
      <c r="H70" s="9">
        <f>IF(A70="","",IF(H69="",StartCash+G70,H69+G70))</f>
        <v/>
      </c>
    </row>
    <row r="71">
      <c r="A71" s="7">
        <f>IF(OR(B71&gt;0,E71&gt;0),TODAY(),"")</f>
        <v/>
      </c>
      <c r="B71" s="5" t="n"/>
      <c r="C71" s="9">
        <f>IF(A71="","",SUMIFS(tblXarajatlar[Summa],tblXarajatlar[Sana],A71))</f>
        <v/>
      </c>
      <c r="D71" s="9">
        <f>IF(A71="","",SUMIFS(tblTovargaPul[Summa],tblTovargaPul[Sana],A71))</f>
        <v/>
      </c>
      <c r="E71" s="5" t="n"/>
      <c r="F71" s="9">
        <f>IF(A71="","",SUM(C71:E71))</f>
        <v/>
      </c>
      <c r="G71" s="9">
        <f>IF(A71="","",B71-F71)</f>
        <v/>
      </c>
      <c r="H71" s="9">
        <f>IF(A71="","",IF(H70="",StartCash+G71,H70+G71))</f>
        <v/>
      </c>
    </row>
    <row r="72">
      <c r="A72" s="7">
        <f>IF(OR(B72&gt;0,E72&gt;0),TODAY(),"")</f>
        <v/>
      </c>
      <c r="B72" s="5" t="n"/>
      <c r="C72" s="9">
        <f>IF(A72="","",SUMIFS(tblXarajatlar[Summa],tblXarajatlar[Sana],A72))</f>
        <v/>
      </c>
      <c r="D72" s="9">
        <f>IF(A72="","",SUMIFS(tblTovargaPul[Summa],tblTovargaPul[Sana],A72))</f>
        <v/>
      </c>
      <c r="E72" s="5" t="n"/>
      <c r="F72" s="9">
        <f>IF(A72="","",SUM(C72:E72))</f>
        <v/>
      </c>
      <c r="G72" s="9">
        <f>IF(A72="","",B72-F72)</f>
        <v/>
      </c>
      <c r="H72" s="9">
        <f>IF(A72="","",IF(H71="",StartCash+G72,H71+G72))</f>
        <v/>
      </c>
    </row>
    <row r="73">
      <c r="A73" s="7">
        <f>IF(OR(B73&gt;0,E73&gt;0),TODAY(),"")</f>
        <v/>
      </c>
      <c r="B73" s="5" t="n"/>
      <c r="C73" s="9">
        <f>IF(A73="","",SUMIFS(tblXarajatlar[Summa],tblXarajatlar[Sana],A73))</f>
        <v/>
      </c>
      <c r="D73" s="9">
        <f>IF(A73="","",SUMIFS(tblTovargaPul[Summa],tblTovargaPul[Sana],A73))</f>
        <v/>
      </c>
      <c r="E73" s="5" t="n"/>
      <c r="F73" s="9">
        <f>IF(A73="","",SUM(C73:E73))</f>
        <v/>
      </c>
      <c r="G73" s="9">
        <f>IF(A73="","",B73-F73)</f>
        <v/>
      </c>
      <c r="H73" s="9">
        <f>IF(A73="","",IF(H72="",StartCash+G73,H72+G73))</f>
        <v/>
      </c>
    </row>
    <row r="74">
      <c r="A74" s="7">
        <f>IF(OR(B74&gt;0,E74&gt;0),TODAY(),"")</f>
        <v/>
      </c>
      <c r="B74" s="5" t="n"/>
      <c r="C74" s="9">
        <f>IF(A74="","",SUMIFS(tblXarajatlar[Summa],tblXarajatlar[Sana],A74))</f>
        <v/>
      </c>
      <c r="D74" s="9">
        <f>IF(A74="","",SUMIFS(tblTovargaPul[Summa],tblTovargaPul[Sana],A74))</f>
        <v/>
      </c>
      <c r="E74" s="5" t="n"/>
      <c r="F74" s="9">
        <f>IF(A74="","",SUM(C74:E74))</f>
        <v/>
      </c>
      <c r="G74" s="9">
        <f>IF(A74="","",B74-F74)</f>
        <v/>
      </c>
      <c r="H74" s="9">
        <f>IF(A74="","",IF(H73="",StartCash+G74,H73+G74))</f>
        <v/>
      </c>
    </row>
    <row r="75">
      <c r="A75" s="7">
        <f>IF(OR(B75&gt;0,E75&gt;0),TODAY(),"")</f>
        <v/>
      </c>
      <c r="B75" s="5" t="n"/>
      <c r="C75" s="9">
        <f>IF(A75="","",SUMIFS(tblXarajatlar[Summa],tblXarajatlar[Sana],A75))</f>
        <v/>
      </c>
      <c r="D75" s="9">
        <f>IF(A75="","",SUMIFS(tblTovargaPul[Summa],tblTovargaPul[Sana],A75))</f>
        <v/>
      </c>
      <c r="E75" s="5" t="n"/>
      <c r="F75" s="9">
        <f>IF(A75="","",SUM(C75:E75))</f>
        <v/>
      </c>
      <c r="G75" s="9">
        <f>IF(A75="","",B75-F75)</f>
        <v/>
      </c>
      <c r="H75" s="9">
        <f>IF(A75="","",IF(H74="",StartCash+G75,H74+G75))</f>
        <v/>
      </c>
    </row>
    <row r="76">
      <c r="A76" s="7">
        <f>IF(OR(B76&gt;0,E76&gt;0),TODAY(),"")</f>
        <v/>
      </c>
      <c r="B76" s="5" t="n"/>
      <c r="C76" s="9">
        <f>IF(A76="","",SUMIFS(tblXarajatlar[Summa],tblXarajatlar[Sana],A76))</f>
        <v/>
      </c>
      <c r="D76" s="9">
        <f>IF(A76="","",SUMIFS(tblTovargaPul[Summa],tblTovargaPul[Sana],A76))</f>
        <v/>
      </c>
      <c r="E76" s="5" t="n"/>
      <c r="F76" s="9">
        <f>IF(A76="","",SUM(C76:E76))</f>
        <v/>
      </c>
      <c r="G76" s="9">
        <f>IF(A76="","",B76-F76)</f>
        <v/>
      </c>
      <c r="H76" s="9">
        <f>IF(A76="","",IF(H75="",StartCash+G76,H75+G76))</f>
        <v/>
      </c>
    </row>
    <row r="77">
      <c r="A77" s="7">
        <f>IF(OR(B77&gt;0,E77&gt;0),TODAY(),"")</f>
        <v/>
      </c>
      <c r="B77" s="5" t="n"/>
      <c r="C77" s="9">
        <f>IF(A77="","",SUMIFS(tblXarajatlar[Summa],tblXarajatlar[Sana],A77))</f>
        <v/>
      </c>
      <c r="D77" s="9">
        <f>IF(A77="","",SUMIFS(tblTovargaPul[Summa],tblTovargaPul[Sana],A77))</f>
        <v/>
      </c>
      <c r="E77" s="5" t="n"/>
      <c r="F77" s="9">
        <f>IF(A77="","",SUM(C77:E77))</f>
        <v/>
      </c>
      <c r="G77" s="9">
        <f>IF(A77="","",B77-F77)</f>
        <v/>
      </c>
      <c r="H77" s="9">
        <f>IF(A77="","",IF(H76="",StartCash+G77,H76+G77))</f>
        <v/>
      </c>
    </row>
    <row r="78">
      <c r="A78" s="7">
        <f>IF(OR(B78&gt;0,E78&gt;0),TODAY(),"")</f>
        <v/>
      </c>
      <c r="B78" s="5" t="n"/>
      <c r="C78" s="9">
        <f>IF(A78="","",SUMIFS(tblXarajatlar[Summa],tblXarajatlar[Sana],A78))</f>
        <v/>
      </c>
      <c r="D78" s="9">
        <f>IF(A78="","",SUMIFS(tblTovargaPul[Summa],tblTovargaPul[Sana],A78))</f>
        <v/>
      </c>
      <c r="E78" s="5" t="n"/>
      <c r="F78" s="9">
        <f>IF(A78="","",SUM(C78:E78))</f>
        <v/>
      </c>
      <c r="G78" s="9">
        <f>IF(A78="","",B78-F78)</f>
        <v/>
      </c>
      <c r="H78" s="9">
        <f>IF(A78="","",IF(H77="",StartCash+G78,H77+G78))</f>
        <v/>
      </c>
    </row>
    <row r="79">
      <c r="A79" s="7">
        <f>IF(OR(B79&gt;0,E79&gt;0),TODAY(),"")</f>
        <v/>
      </c>
      <c r="B79" s="5" t="n"/>
      <c r="C79" s="9">
        <f>IF(A79="","",SUMIFS(tblXarajatlar[Summa],tblXarajatlar[Sana],A79))</f>
        <v/>
      </c>
      <c r="D79" s="9">
        <f>IF(A79="","",SUMIFS(tblTovargaPul[Summa],tblTovargaPul[Sana],A79))</f>
        <v/>
      </c>
      <c r="E79" s="5" t="n"/>
      <c r="F79" s="9">
        <f>IF(A79="","",SUM(C79:E79))</f>
        <v/>
      </c>
      <c r="G79" s="9">
        <f>IF(A79="","",B79-F79)</f>
        <v/>
      </c>
      <c r="H79" s="9">
        <f>IF(A79="","",IF(H78="",StartCash+G79,H78+G79))</f>
        <v/>
      </c>
    </row>
    <row r="80">
      <c r="A80" s="7">
        <f>IF(OR(B80&gt;0,E80&gt;0),TODAY(),"")</f>
        <v/>
      </c>
      <c r="B80" s="5" t="n"/>
      <c r="C80" s="9">
        <f>IF(A80="","",SUMIFS(tblXarajatlar[Summa],tblXarajatlar[Sana],A80))</f>
        <v/>
      </c>
      <c r="D80" s="9">
        <f>IF(A80="","",SUMIFS(tblTovargaPul[Summa],tblTovargaPul[Sana],A80))</f>
        <v/>
      </c>
      <c r="E80" s="5" t="n"/>
      <c r="F80" s="9">
        <f>IF(A80="","",SUM(C80:E80))</f>
        <v/>
      </c>
      <c r="G80" s="9">
        <f>IF(A80="","",B80-F80)</f>
        <v/>
      </c>
      <c r="H80" s="9">
        <f>IF(A80="","",IF(H79="",StartCash+G80,H79+G80))</f>
        <v/>
      </c>
    </row>
    <row r="81">
      <c r="A81" s="7">
        <f>IF(OR(B81&gt;0,E81&gt;0),TODAY(),"")</f>
        <v/>
      </c>
      <c r="B81" s="5" t="n"/>
      <c r="C81" s="9">
        <f>IF(A81="","",SUMIFS(tblXarajatlar[Summa],tblXarajatlar[Sana],A81))</f>
        <v/>
      </c>
      <c r="D81" s="9">
        <f>IF(A81="","",SUMIFS(tblTovargaPul[Summa],tblTovargaPul[Sana],A81))</f>
        <v/>
      </c>
      <c r="E81" s="5" t="n"/>
      <c r="F81" s="9">
        <f>IF(A81="","",SUM(C81:E81))</f>
        <v/>
      </c>
      <c r="G81" s="9">
        <f>IF(A81="","",B81-F81)</f>
        <v/>
      </c>
      <c r="H81" s="9">
        <f>IF(A81="","",IF(H80="",StartCash+G81,H80+G81))</f>
        <v/>
      </c>
    </row>
    <row r="82">
      <c r="A82" s="7">
        <f>IF(OR(B82&gt;0,E82&gt;0),TODAY(),"")</f>
        <v/>
      </c>
      <c r="B82" s="5" t="n"/>
      <c r="C82" s="9">
        <f>IF(A82="","",SUMIFS(tblXarajatlar[Summa],tblXarajatlar[Sana],A82))</f>
        <v/>
      </c>
      <c r="D82" s="9">
        <f>IF(A82="","",SUMIFS(tblTovargaPul[Summa],tblTovargaPul[Sana],A82))</f>
        <v/>
      </c>
      <c r="E82" s="5" t="n"/>
      <c r="F82" s="9">
        <f>IF(A82="","",SUM(C82:E82))</f>
        <v/>
      </c>
      <c r="G82" s="9">
        <f>IF(A82="","",B82-F82)</f>
        <v/>
      </c>
      <c r="H82" s="9">
        <f>IF(A82="","",IF(H81="",StartCash+G82,H81+G82))</f>
        <v/>
      </c>
    </row>
    <row r="83">
      <c r="A83" s="7">
        <f>IF(OR(B83&gt;0,E83&gt;0),TODAY(),"")</f>
        <v/>
      </c>
      <c r="B83" s="5" t="n"/>
      <c r="C83" s="9">
        <f>IF(A83="","",SUMIFS(tblXarajatlar[Summa],tblXarajatlar[Sana],A83))</f>
        <v/>
      </c>
      <c r="D83" s="9">
        <f>IF(A83="","",SUMIFS(tblTovargaPul[Summa],tblTovargaPul[Sana],A83))</f>
        <v/>
      </c>
      <c r="E83" s="5" t="n"/>
      <c r="F83" s="9">
        <f>IF(A83="","",SUM(C83:E83))</f>
        <v/>
      </c>
      <c r="G83" s="9">
        <f>IF(A83="","",B83-F83)</f>
        <v/>
      </c>
      <c r="H83" s="9">
        <f>IF(A83="","",IF(H82="",StartCash+G83,H82+G83))</f>
        <v/>
      </c>
    </row>
    <row r="84">
      <c r="A84" s="7">
        <f>IF(OR(B84&gt;0,E84&gt;0),TODAY(),"")</f>
        <v/>
      </c>
      <c r="B84" s="5" t="n"/>
      <c r="C84" s="9">
        <f>IF(A84="","",SUMIFS(tblXarajatlar[Summa],tblXarajatlar[Sana],A84))</f>
        <v/>
      </c>
      <c r="D84" s="9">
        <f>IF(A84="","",SUMIFS(tblTovargaPul[Summa],tblTovargaPul[Sana],A84))</f>
        <v/>
      </c>
      <c r="E84" s="5" t="n"/>
      <c r="F84" s="9">
        <f>IF(A84="","",SUM(C84:E84))</f>
        <v/>
      </c>
      <c r="G84" s="9">
        <f>IF(A84="","",B84-F84)</f>
        <v/>
      </c>
      <c r="H84" s="9">
        <f>IF(A84="","",IF(H83="",StartCash+G84,H83+G84))</f>
        <v/>
      </c>
    </row>
    <row r="85">
      <c r="A85" s="7">
        <f>IF(OR(B85&gt;0,E85&gt;0),TODAY(),"")</f>
        <v/>
      </c>
      <c r="B85" s="5" t="n"/>
      <c r="C85" s="9">
        <f>IF(A85="","",SUMIFS(tblXarajatlar[Summa],tblXarajatlar[Sana],A85))</f>
        <v/>
      </c>
      <c r="D85" s="9">
        <f>IF(A85="","",SUMIFS(tblTovargaPul[Summa],tblTovargaPul[Sana],A85))</f>
        <v/>
      </c>
      <c r="E85" s="5" t="n"/>
      <c r="F85" s="9">
        <f>IF(A85="","",SUM(C85:E85))</f>
        <v/>
      </c>
      <c r="G85" s="9">
        <f>IF(A85="","",B85-F85)</f>
        <v/>
      </c>
      <c r="H85" s="9">
        <f>IF(A85="","",IF(H84="",StartCash+G85,H84+G85))</f>
        <v/>
      </c>
    </row>
    <row r="86">
      <c r="A86" s="7">
        <f>IF(OR(B86&gt;0,E86&gt;0),TODAY(),"")</f>
        <v/>
      </c>
      <c r="B86" s="5" t="n"/>
      <c r="C86" s="9">
        <f>IF(A86="","",SUMIFS(tblXarajatlar[Summa],tblXarajatlar[Sana],A86))</f>
        <v/>
      </c>
      <c r="D86" s="9">
        <f>IF(A86="","",SUMIFS(tblTovargaPul[Summa],tblTovargaPul[Sana],A86))</f>
        <v/>
      </c>
      <c r="E86" s="5" t="n"/>
      <c r="F86" s="9">
        <f>IF(A86="","",SUM(C86:E86))</f>
        <v/>
      </c>
      <c r="G86" s="9">
        <f>IF(A86="","",B86-F86)</f>
        <v/>
      </c>
      <c r="H86" s="9">
        <f>IF(A86="","",IF(H85="",StartCash+G86,H85+G86))</f>
        <v/>
      </c>
    </row>
    <row r="87">
      <c r="A87" s="7">
        <f>IF(OR(B87&gt;0,E87&gt;0),TODAY(),"")</f>
        <v/>
      </c>
      <c r="B87" s="5" t="n"/>
      <c r="C87" s="9">
        <f>IF(A87="","",SUMIFS(tblXarajatlar[Summa],tblXarajatlar[Sana],A87))</f>
        <v/>
      </c>
      <c r="D87" s="9">
        <f>IF(A87="","",SUMIFS(tblTovargaPul[Summa],tblTovargaPul[Sana],A87))</f>
        <v/>
      </c>
      <c r="E87" s="5" t="n"/>
      <c r="F87" s="9">
        <f>IF(A87="","",SUM(C87:E87))</f>
        <v/>
      </c>
      <c r="G87" s="9">
        <f>IF(A87="","",B87-F87)</f>
        <v/>
      </c>
      <c r="H87" s="9">
        <f>IF(A87="","",IF(H86="",StartCash+G87,H86+G87))</f>
        <v/>
      </c>
    </row>
    <row r="88">
      <c r="A88" s="7">
        <f>IF(OR(B88&gt;0,E88&gt;0),TODAY(),"")</f>
        <v/>
      </c>
      <c r="B88" s="5" t="n"/>
      <c r="C88" s="9">
        <f>IF(A88="","",SUMIFS(tblXarajatlar[Summa],tblXarajatlar[Sana],A88))</f>
        <v/>
      </c>
      <c r="D88" s="9">
        <f>IF(A88="","",SUMIFS(tblTovargaPul[Summa],tblTovargaPul[Sana],A88))</f>
        <v/>
      </c>
      <c r="E88" s="5" t="n"/>
      <c r="F88" s="9">
        <f>IF(A88="","",SUM(C88:E88))</f>
        <v/>
      </c>
      <c r="G88" s="9">
        <f>IF(A88="","",B88-F88)</f>
        <v/>
      </c>
      <c r="H88" s="9">
        <f>IF(A88="","",IF(H87="",StartCash+G88,H87+G88))</f>
        <v/>
      </c>
    </row>
    <row r="89">
      <c r="A89" s="7">
        <f>IF(OR(B89&gt;0,E89&gt;0),TODAY(),"")</f>
        <v/>
      </c>
      <c r="B89" s="5" t="n"/>
      <c r="C89" s="9">
        <f>IF(A89="","",SUMIFS(tblXarajatlar[Summa],tblXarajatlar[Sana],A89))</f>
        <v/>
      </c>
      <c r="D89" s="9">
        <f>IF(A89="","",SUMIFS(tblTovargaPul[Summa],tblTovargaPul[Sana],A89))</f>
        <v/>
      </c>
      <c r="E89" s="5" t="n"/>
      <c r="F89" s="9">
        <f>IF(A89="","",SUM(C89:E89))</f>
        <v/>
      </c>
      <c r="G89" s="9">
        <f>IF(A89="","",B89-F89)</f>
        <v/>
      </c>
      <c r="H89" s="9">
        <f>IF(A89="","",IF(H88="",StartCash+G89,H88+G89))</f>
        <v/>
      </c>
    </row>
    <row r="90">
      <c r="A90" s="7">
        <f>IF(OR(B90&gt;0,E90&gt;0),TODAY(),"")</f>
        <v/>
      </c>
      <c r="B90" s="5" t="n"/>
      <c r="C90" s="9">
        <f>IF(A90="","",SUMIFS(tblXarajatlar[Summa],tblXarajatlar[Sana],A90))</f>
        <v/>
      </c>
      <c r="D90" s="9">
        <f>IF(A90="","",SUMIFS(tblTovargaPul[Summa],tblTovargaPul[Sana],A90))</f>
        <v/>
      </c>
      <c r="E90" s="5" t="n"/>
      <c r="F90" s="9">
        <f>IF(A90="","",SUM(C90:E90))</f>
        <v/>
      </c>
      <c r="G90" s="9">
        <f>IF(A90="","",B90-F90)</f>
        <v/>
      </c>
      <c r="H90" s="9">
        <f>IF(A90="","",IF(H89="",StartCash+G90,H89+G90))</f>
        <v/>
      </c>
    </row>
    <row r="91">
      <c r="A91" s="7">
        <f>IF(OR(B91&gt;0,E91&gt;0),TODAY(),"")</f>
        <v/>
      </c>
      <c r="B91" s="5" t="n"/>
      <c r="C91" s="9">
        <f>IF(A91="","",SUMIFS(tblXarajatlar[Summa],tblXarajatlar[Sana],A91))</f>
        <v/>
      </c>
      <c r="D91" s="9">
        <f>IF(A91="","",SUMIFS(tblTovargaPul[Summa],tblTovargaPul[Sana],A91))</f>
        <v/>
      </c>
      <c r="E91" s="5" t="n"/>
      <c r="F91" s="9">
        <f>IF(A91="","",SUM(C91:E91))</f>
        <v/>
      </c>
      <c r="G91" s="9">
        <f>IF(A91="","",B91-F91)</f>
        <v/>
      </c>
      <c r="H91" s="9">
        <f>IF(A91="","",IF(H90="",StartCash+G91,H90+G91))</f>
        <v/>
      </c>
    </row>
    <row r="92">
      <c r="A92" s="7">
        <f>IF(OR(B92&gt;0,E92&gt;0),TODAY(),"")</f>
        <v/>
      </c>
      <c r="B92" s="5" t="n"/>
      <c r="C92" s="9">
        <f>IF(A92="","",SUMIFS(tblXarajatlar[Summa],tblXarajatlar[Sana],A92))</f>
        <v/>
      </c>
      <c r="D92" s="9">
        <f>IF(A92="","",SUMIFS(tblTovargaPul[Summa],tblTovargaPul[Sana],A92))</f>
        <v/>
      </c>
      <c r="E92" s="5" t="n"/>
      <c r="F92" s="9">
        <f>IF(A92="","",SUM(C92:E92))</f>
        <v/>
      </c>
      <c r="G92" s="9">
        <f>IF(A92="","",B92-F92)</f>
        <v/>
      </c>
      <c r="H92" s="9">
        <f>IF(A92="","",IF(H91="",StartCash+G92,H91+G92))</f>
        <v/>
      </c>
    </row>
    <row r="93">
      <c r="A93" s="7">
        <f>IF(OR(B93&gt;0,E93&gt;0),TODAY(),"")</f>
        <v/>
      </c>
      <c r="B93" s="5" t="n"/>
      <c r="C93" s="9">
        <f>IF(A93="","",SUMIFS(tblXarajatlar[Summa],tblXarajatlar[Sana],A93))</f>
        <v/>
      </c>
      <c r="D93" s="9">
        <f>IF(A93="","",SUMIFS(tblTovargaPul[Summa],tblTovargaPul[Sana],A93))</f>
        <v/>
      </c>
      <c r="E93" s="5" t="n"/>
      <c r="F93" s="9">
        <f>IF(A93="","",SUM(C93:E93))</f>
        <v/>
      </c>
      <c r="G93" s="9">
        <f>IF(A93="","",B93-F93)</f>
        <v/>
      </c>
      <c r="H93" s="9">
        <f>IF(A93="","",IF(H92="",StartCash+G93,H92+G93))</f>
        <v/>
      </c>
    </row>
    <row r="94">
      <c r="A94" s="7">
        <f>IF(OR(B94&gt;0,E94&gt;0),TODAY(),"")</f>
        <v/>
      </c>
      <c r="B94" s="5" t="n"/>
      <c r="C94" s="9">
        <f>IF(A94="","",SUMIFS(tblXarajatlar[Summa],tblXarajatlar[Sana],A94))</f>
        <v/>
      </c>
      <c r="D94" s="9">
        <f>IF(A94="","",SUMIFS(tblTovargaPul[Summa],tblTovargaPul[Sana],A94))</f>
        <v/>
      </c>
      <c r="E94" s="5" t="n"/>
      <c r="F94" s="9">
        <f>IF(A94="","",SUM(C94:E94))</f>
        <v/>
      </c>
      <c r="G94" s="9">
        <f>IF(A94="","",B94-F94)</f>
        <v/>
      </c>
      <c r="H94" s="9">
        <f>IF(A94="","",IF(H93="",StartCash+G94,H93+G94))</f>
        <v/>
      </c>
    </row>
    <row r="95">
      <c r="A95" s="7">
        <f>IF(OR(B95&gt;0,E95&gt;0),TODAY(),"")</f>
        <v/>
      </c>
      <c r="B95" s="5" t="n"/>
      <c r="C95" s="9">
        <f>IF(A95="","",SUMIFS(tblXarajatlar[Summa],tblXarajatlar[Sana],A95))</f>
        <v/>
      </c>
      <c r="D95" s="9">
        <f>IF(A95="","",SUMIFS(tblTovargaPul[Summa],tblTovargaPul[Sana],A95))</f>
        <v/>
      </c>
      <c r="E95" s="5" t="n"/>
      <c r="F95" s="9">
        <f>IF(A95="","",SUM(C95:E95))</f>
        <v/>
      </c>
      <c r="G95" s="9">
        <f>IF(A95="","",B95-F95)</f>
        <v/>
      </c>
      <c r="H95" s="9">
        <f>IF(A95="","",IF(H94="",StartCash+G95,H94+G95))</f>
        <v/>
      </c>
    </row>
    <row r="96">
      <c r="A96" s="7">
        <f>IF(OR(B96&gt;0,E96&gt;0),TODAY(),"")</f>
        <v/>
      </c>
      <c r="B96" s="5" t="n"/>
      <c r="C96" s="9">
        <f>IF(A96="","",SUMIFS(tblXarajatlar[Summa],tblXarajatlar[Sana],A96))</f>
        <v/>
      </c>
      <c r="D96" s="9">
        <f>IF(A96="","",SUMIFS(tblTovargaPul[Summa],tblTovargaPul[Sana],A96))</f>
        <v/>
      </c>
      <c r="E96" s="5" t="n"/>
      <c r="F96" s="9">
        <f>IF(A96="","",SUM(C96:E96))</f>
        <v/>
      </c>
      <c r="G96" s="9">
        <f>IF(A96="","",B96-F96)</f>
        <v/>
      </c>
      <c r="H96" s="9">
        <f>IF(A96="","",IF(H95="",StartCash+G96,H95+G96))</f>
        <v/>
      </c>
    </row>
    <row r="97">
      <c r="A97" s="7">
        <f>IF(OR(B97&gt;0,E97&gt;0),TODAY(),"")</f>
        <v/>
      </c>
      <c r="B97" s="5" t="n"/>
      <c r="C97" s="9">
        <f>IF(A97="","",SUMIFS(tblXarajatlar[Summa],tblXarajatlar[Sana],A97))</f>
        <v/>
      </c>
      <c r="D97" s="9">
        <f>IF(A97="","",SUMIFS(tblTovargaPul[Summa],tblTovargaPul[Sana],A97))</f>
        <v/>
      </c>
      <c r="E97" s="5" t="n"/>
      <c r="F97" s="9">
        <f>IF(A97="","",SUM(C97:E97))</f>
        <v/>
      </c>
      <c r="G97" s="9">
        <f>IF(A97="","",B97-F97)</f>
        <v/>
      </c>
      <c r="H97" s="9">
        <f>IF(A97="","",IF(H96="",StartCash+G97,H96+G97))</f>
        <v/>
      </c>
    </row>
    <row r="98">
      <c r="A98" s="7">
        <f>IF(OR(B98&gt;0,E98&gt;0),TODAY(),"")</f>
        <v/>
      </c>
      <c r="B98" s="5" t="n"/>
      <c r="C98" s="9">
        <f>IF(A98="","",SUMIFS(tblXarajatlar[Summa],tblXarajatlar[Sana],A98))</f>
        <v/>
      </c>
      <c r="D98" s="9">
        <f>IF(A98="","",SUMIFS(tblTovargaPul[Summa],tblTovargaPul[Sana],A98))</f>
        <v/>
      </c>
      <c r="E98" s="5" t="n"/>
      <c r="F98" s="9">
        <f>IF(A98="","",SUM(C98:E98))</f>
        <v/>
      </c>
      <c r="G98" s="9">
        <f>IF(A98="","",B98-F98)</f>
        <v/>
      </c>
      <c r="H98" s="9">
        <f>IF(A98="","",IF(H97="",StartCash+G98,H97+G98))</f>
        <v/>
      </c>
    </row>
    <row r="99">
      <c r="A99" s="7">
        <f>IF(OR(B99&gt;0,E99&gt;0),TODAY(),"")</f>
        <v/>
      </c>
      <c r="B99" s="5" t="n"/>
      <c r="C99" s="9">
        <f>IF(A99="","",SUMIFS(tblXarajatlar[Summa],tblXarajatlar[Sana],A99))</f>
        <v/>
      </c>
      <c r="D99" s="9">
        <f>IF(A99="","",SUMIFS(tblTovargaPul[Summa],tblTovargaPul[Sana],A99))</f>
        <v/>
      </c>
      <c r="E99" s="5" t="n"/>
      <c r="F99" s="9">
        <f>IF(A99="","",SUM(C99:E99))</f>
        <v/>
      </c>
      <c r="G99" s="9">
        <f>IF(A99="","",B99-F99)</f>
        <v/>
      </c>
      <c r="H99" s="9">
        <f>IF(A99="","",IF(H98="",StartCash+G99,H98+G99))</f>
        <v/>
      </c>
    </row>
    <row r="100">
      <c r="A100" s="7">
        <f>IF(OR(B100&gt;0,E100&gt;0),TODAY(),"")</f>
        <v/>
      </c>
      <c r="B100" s="5" t="n"/>
      <c r="C100" s="9">
        <f>IF(A100="","",SUMIFS(tblXarajatlar[Summa],tblXarajatlar[Sana],A100))</f>
        <v/>
      </c>
      <c r="D100" s="9">
        <f>IF(A100="","",SUMIFS(tblTovargaPul[Summa],tblTovargaPul[Sana],A100))</f>
        <v/>
      </c>
      <c r="E100" s="5" t="n"/>
      <c r="F100" s="9">
        <f>IF(A100="","",SUM(C100:E100))</f>
        <v/>
      </c>
      <c r="G100" s="9">
        <f>IF(A100="","",B100-F100)</f>
        <v/>
      </c>
      <c r="H100" s="9">
        <f>IF(A100="","",IF(H99="",StartCash+G100,H99+G100))</f>
        <v/>
      </c>
    </row>
    <row r="101">
      <c r="A101" s="7">
        <f>IF(OR(B101&gt;0,E101&gt;0),TODAY(),"")</f>
        <v/>
      </c>
      <c r="B101" s="5" t="n"/>
      <c r="C101" s="9">
        <f>IF(A101="","",SUMIFS(tblXarajatlar[Summa],tblXarajatlar[Sana],A101))</f>
        <v/>
      </c>
      <c r="D101" s="9">
        <f>IF(A101="","",SUMIFS(tblTovargaPul[Summa],tblTovargaPul[Sana],A101))</f>
        <v/>
      </c>
      <c r="E101" s="5" t="n"/>
      <c r="F101" s="9">
        <f>IF(A101="","",SUM(C101:E101))</f>
        <v/>
      </c>
      <c r="G101" s="9">
        <f>IF(A101="","",B101-F101)</f>
        <v/>
      </c>
      <c r="H101" s="9">
        <f>IF(A101="","",IF(H100="",StartCash+G101,H100+G101))</f>
        <v/>
      </c>
    </row>
    <row r="102">
      <c r="A102" s="7">
        <f>IF(OR(B102&gt;0,E102&gt;0),TODAY(),"")</f>
        <v/>
      </c>
      <c r="B102" s="5" t="n"/>
      <c r="C102" s="9">
        <f>IF(A102="","",SUMIFS(tblXarajatlar[Summa],tblXarajatlar[Sana],A102))</f>
        <v/>
      </c>
      <c r="D102" s="9">
        <f>IF(A102="","",SUMIFS(tblTovargaPul[Summa],tblTovargaPul[Sana],A102))</f>
        <v/>
      </c>
      <c r="E102" s="5" t="n"/>
      <c r="F102" s="9">
        <f>IF(A102="","",SUM(C102:E102))</f>
        <v/>
      </c>
      <c r="G102" s="9">
        <f>IF(A102="","",B102-F102)</f>
        <v/>
      </c>
      <c r="H102" s="9">
        <f>IF(A102="","",IF(H101="",StartCash+G102,H101+G102))</f>
        <v/>
      </c>
    </row>
    <row r="103">
      <c r="A103" s="7">
        <f>IF(OR(B103&gt;0,E103&gt;0),TODAY(),"")</f>
        <v/>
      </c>
      <c r="B103" s="5" t="n"/>
      <c r="C103" s="9">
        <f>IF(A103="","",SUMIFS(tblXarajatlar[Summa],tblXarajatlar[Sana],A103))</f>
        <v/>
      </c>
      <c r="D103" s="9">
        <f>IF(A103="","",SUMIFS(tblTovargaPul[Summa],tblTovargaPul[Sana],A103))</f>
        <v/>
      </c>
      <c r="E103" s="5" t="n"/>
      <c r="F103" s="9">
        <f>IF(A103="","",SUM(C103:E103))</f>
        <v/>
      </c>
      <c r="G103" s="9">
        <f>IF(A103="","",B103-F103)</f>
        <v/>
      </c>
      <c r="H103" s="9">
        <f>IF(A103="","",IF(H102="",StartCash+G103,H102+G103))</f>
        <v/>
      </c>
    </row>
    <row r="104">
      <c r="A104" s="7">
        <f>IF(OR(B104&gt;0,E104&gt;0),TODAY(),"")</f>
        <v/>
      </c>
      <c r="B104" s="5" t="n"/>
      <c r="C104" s="9">
        <f>IF(A104="","",SUMIFS(tblXarajatlar[Summa],tblXarajatlar[Sana],A104))</f>
        <v/>
      </c>
      <c r="D104" s="9">
        <f>IF(A104="","",SUMIFS(tblTovargaPul[Summa],tblTovargaPul[Sana],A104))</f>
        <v/>
      </c>
      <c r="E104" s="5" t="n"/>
      <c r="F104" s="9">
        <f>IF(A104="","",SUM(C104:E104))</f>
        <v/>
      </c>
      <c r="G104" s="9">
        <f>IF(A104="","",B104-F104)</f>
        <v/>
      </c>
      <c r="H104" s="9">
        <f>IF(A104="","",IF(H103="",StartCash+G104,H103+G104))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0" customWidth="1" min="4" max="4"/>
    <col width="10" customWidth="1" min="5" max="5"/>
    <col width="23" customWidth="1" min="6" max="6"/>
    <col width="26" customWidth="1" min="7" max="7"/>
  </cols>
  <sheetData>
    <row r="1">
      <c r="A1" s="1" t="inlineStr">
        <is>
          <t>Odamlar bilan oldi-berdi</t>
        </is>
      </c>
    </row>
    <row r="2">
      <c r="A2" s="2" t="inlineStr">
        <is>
          <t>Odam KOD yozing (masalan SH). Berdim = siz bergan pul (odam sizga qarzdor). Oldim = siz olgan pul. Sana avtomatik.</t>
        </is>
      </c>
    </row>
    <row r="3"/>
    <row r="4" ht="30" customHeight="1">
      <c r="A4" s="3" t="inlineStr">
        <is>
          <t>Sana</t>
        </is>
      </c>
      <c r="B4" s="3" t="inlineStr">
        <is>
          <t>Kod</t>
        </is>
      </c>
      <c r="C4" s="3" t="inlineStr">
        <is>
          <t>Odam</t>
        </is>
      </c>
      <c r="D4" s="3" t="inlineStr">
        <is>
          <t>Berdim</t>
        </is>
      </c>
      <c r="E4" s="3" t="inlineStr">
        <is>
          <t>Oldim</t>
        </is>
      </c>
      <c r="F4" s="3" t="inlineStr">
        <is>
          <t>Izoh</t>
        </is>
      </c>
      <c r="G4" s="3" t="inlineStr">
        <is>
          <t>Qator_balans</t>
        </is>
      </c>
    </row>
    <row r="5">
      <c r="A5" s="7" t="n">
        <v>46235</v>
      </c>
      <c r="B5" s="4" t="inlineStr">
        <is>
          <t>SH</t>
        </is>
      </c>
      <c r="C5" s="8">
        <f>IF(B5="","",IFERROR(XLOOKUP(B5,tblOdamlar[Kod],tblOdamlar[Ism]),"?"))</f>
        <v/>
      </c>
      <c r="D5" s="5" t="n">
        <v>200000</v>
      </c>
      <c r="E5" s="5" t="n">
        <v>0</v>
      </c>
      <c r="F5" s="4" t="inlineStr">
        <is>
          <t>Qarz berdim</t>
        </is>
      </c>
      <c r="G5" s="9">
        <f>E5-D5</f>
        <v/>
      </c>
    </row>
    <row r="6">
      <c r="A6" s="7" t="n">
        <v>46237</v>
      </c>
      <c r="B6" s="4" t="inlineStr">
        <is>
          <t>JA</t>
        </is>
      </c>
      <c r="C6" s="8">
        <f>IF(B6="","",IFERROR(XLOOKUP(B6,tblOdamlar[Kod],tblOdamlar[Ism]),"?"))</f>
        <v/>
      </c>
      <c r="D6" s="5" t="n">
        <v>0</v>
      </c>
      <c r="E6" s="5" t="n">
        <v>150000</v>
      </c>
      <c r="F6" s="4" t="inlineStr">
        <is>
          <t>Oldingi qarz qoplandi</t>
        </is>
      </c>
      <c r="G6" s="9">
        <f>E6-D6</f>
        <v/>
      </c>
    </row>
    <row r="7">
      <c r="A7" s="7" t="n">
        <v>46238</v>
      </c>
      <c r="B7" s="4" t="inlineStr">
        <is>
          <t>SI</t>
        </is>
      </c>
      <c r="C7" s="8">
        <f>IF(B7="","",IFERROR(XLOOKUP(B7,tblOdamlar[Kod],tblOdamlar[Ism]),"?"))</f>
        <v/>
      </c>
      <c r="D7" s="5" t="n">
        <v>50000</v>
      </c>
      <c r="E7" s="5" t="n">
        <v>0</v>
      </c>
      <c r="F7" s="4" t="inlineStr">
        <is>
          <t>Vaqtincha</t>
        </is>
      </c>
      <c r="G7" s="9">
        <f>E7-D7</f>
        <v/>
      </c>
    </row>
    <row r="8">
      <c r="A8" s="7">
        <f>IF(OR(B8&lt;&gt;"",D8&gt;0,E8&gt;0),TODAY(),"")</f>
        <v/>
      </c>
      <c r="B8" s="4" t="n"/>
      <c r="C8" s="8">
        <f>IF(B8="","",IFERROR(XLOOKUP(B8,tblOdamlar[Kod],tblOdamlar[Ism]),"?"))</f>
        <v/>
      </c>
      <c r="D8" s="5" t="n"/>
      <c r="E8" s="5" t="n"/>
      <c r="F8" s="4" t="n"/>
      <c r="G8" s="9">
        <f>IF(OR(B8="",AND(D8="",E8="")),"",E8-D8)</f>
        <v/>
      </c>
    </row>
    <row r="9">
      <c r="A9" s="7">
        <f>IF(OR(B9&lt;&gt;"",D9&gt;0,E9&gt;0),TODAY(),"")</f>
        <v/>
      </c>
      <c r="B9" s="4" t="n"/>
      <c r="C9" s="8">
        <f>IF(B9="","",IFERROR(XLOOKUP(B9,tblOdamlar[Kod],tblOdamlar[Ism]),"?"))</f>
        <v/>
      </c>
      <c r="D9" s="5" t="n"/>
      <c r="E9" s="5" t="n"/>
      <c r="F9" s="4" t="n"/>
      <c r="G9" s="9">
        <f>IF(OR(B9="",AND(D9="",E9="")),"",E9-D9)</f>
        <v/>
      </c>
    </row>
    <row r="10">
      <c r="A10" s="7">
        <f>IF(OR(B10&lt;&gt;"",D10&gt;0,E10&gt;0),TODAY(),"")</f>
        <v/>
      </c>
      <c r="B10" s="4" t="n"/>
      <c r="C10" s="8">
        <f>IF(B10="","",IFERROR(XLOOKUP(B10,tblOdamlar[Kod],tblOdamlar[Ism]),"?"))</f>
        <v/>
      </c>
      <c r="D10" s="5" t="n"/>
      <c r="E10" s="5" t="n"/>
      <c r="F10" s="4" t="n"/>
      <c r="G10" s="9">
        <f>IF(OR(B10="",AND(D10="",E10="")),"",E10-D10)</f>
        <v/>
      </c>
    </row>
    <row r="11">
      <c r="A11" s="7">
        <f>IF(OR(B11&lt;&gt;"",D11&gt;0,E11&gt;0),TODAY(),"")</f>
        <v/>
      </c>
      <c r="B11" s="4" t="n"/>
      <c r="C11" s="8">
        <f>IF(B11="","",IFERROR(XLOOKUP(B11,tblOdamlar[Kod],tblOdamlar[Ism]),"?"))</f>
        <v/>
      </c>
      <c r="D11" s="5" t="n"/>
      <c r="E11" s="5" t="n"/>
      <c r="F11" s="4" t="n"/>
      <c r="G11" s="9">
        <f>IF(OR(B11="",AND(D11="",E11="")),"",E11-D11)</f>
        <v/>
      </c>
    </row>
    <row r="12">
      <c r="A12" s="7">
        <f>IF(OR(B12&lt;&gt;"",D12&gt;0,E12&gt;0),TODAY(),"")</f>
        <v/>
      </c>
      <c r="B12" s="4" t="n"/>
      <c r="C12" s="8">
        <f>IF(B12="","",IFERROR(XLOOKUP(B12,tblOdamlar[Kod],tblOdamlar[Ism]),"?"))</f>
        <v/>
      </c>
      <c r="D12" s="5" t="n"/>
      <c r="E12" s="5" t="n"/>
      <c r="F12" s="4" t="n"/>
      <c r="G12" s="9">
        <f>IF(OR(B12="",AND(D12="",E12="")),"",E12-D12)</f>
        <v/>
      </c>
    </row>
    <row r="13">
      <c r="A13" s="7">
        <f>IF(OR(B13&lt;&gt;"",D13&gt;0,E13&gt;0),TODAY(),"")</f>
        <v/>
      </c>
      <c r="B13" s="4" t="n"/>
      <c r="C13" s="8">
        <f>IF(B13="","",IFERROR(XLOOKUP(B13,tblOdamlar[Kod],tblOdamlar[Ism]),"?"))</f>
        <v/>
      </c>
      <c r="D13" s="5" t="n"/>
      <c r="E13" s="5" t="n"/>
      <c r="F13" s="4" t="n"/>
      <c r="G13" s="9">
        <f>IF(OR(B13="",AND(D13="",E13="")),"",E13-D13)</f>
        <v/>
      </c>
    </row>
    <row r="14">
      <c r="A14" s="7">
        <f>IF(OR(B14&lt;&gt;"",D14&gt;0,E14&gt;0),TODAY(),"")</f>
        <v/>
      </c>
      <c r="B14" s="4" t="n"/>
      <c r="C14" s="8">
        <f>IF(B14="","",IFERROR(XLOOKUP(B14,tblOdamlar[Kod],tblOdamlar[Ism]),"?"))</f>
        <v/>
      </c>
      <c r="D14" s="5" t="n"/>
      <c r="E14" s="5" t="n"/>
      <c r="F14" s="4" t="n"/>
      <c r="G14" s="9">
        <f>IF(OR(B14="",AND(D14="",E14="")),"",E14-D14)</f>
        <v/>
      </c>
    </row>
    <row r="15">
      <c r="A15" s="7">
        <f>IF(OR(B15&lt;&gt;"",D15&gt;0,E15&gt;0),TODAY(),"")</f>
        <v/>
      </c>
      <c r="B15" s="4" t="n"/>
      <c r="C15" s="8">
        <f>IF(B15="","",IFERROR(XLOOKUP(B15,tblOdamlar[Kod],tblOdamlar[Ism]),"?"))</f>
        <v/>
      </c>
      <c r="D15" s="5" t="n"/>
      <c r="E15" s="5" t="n"/>
      <c r="F15" s="4" t="n"/>
      <c r="G15" s="9">
        <f>IF(OR(B15="",AND(D15="",E15="")),"",E15-D15)</f>
        <v/>
      </c>
    </row>
    <row r="16">
      <c r="A16" s="7">
        <f>IF(OR(B16&lt;&gt;"",D16&gt;0,E16&gt;0),TODAY(),"")</f>
        <v/>
      </c>
      <c r="B16" s="4" t="n"/>
      <c r="C16" s="8">
        <f>IF(B16="","",IFERROR(XLOOKUP(B16,tblOdamlar[Kod],tblOdamlar[Ism]),"?"))</f>
        <v/>
      </c>
      <c r="D16" s="5" t="n"/>
      <c r="E16" s="5" t="n"/>
      <c r="F16" s="4" t="n"/>
      <c r="G16" s="9">
        <f>IF(OR(B16="",AND(D16="",E16="")),"",E16-D16)</f>
        <v/>
      </c>
    </row>
    <row r="17">
      <c r="A17" s="7">
        <f>IF(OR(B17&lt;&gt;"",D17&gt;0,E17&gt;0),TODAY(),"")</f>
        <v/>
      </c>
      <c r="B17" s="4" t="n"/>
      <c r="C17" s="8">
        <f>IF(B17="","",IFERROR(XLOOKUP(B17,tblOdamlar[Kod],tblOdamlar[Ism]),"?"))</f>
        <v/>
      </c>
      <c r="D17" s="5" t="n"/>
      <c r="E17" s="5" t="n"/>
      <c r="F17" s="4" t="n"/>
      <c r="G17" s="9">
        <f>IF(OR(B17="",AND(D17="",E17="")),"",E17-D17)</f>
        <v/>
      </c>
    </row>
    <row r="18">
      <c r="A18" s="7">
        <f>IF(OR(B18&lt;&gt;"",D18&gt;0,E18&gt;0),TODAY(),"")</f>
        <v/>
      </c>
      <c r="B18" s="4" t="n"/>
      <c r="C18" s="8">
        <f>IF(B18="","",IFERROR(XLOOKUP(B18,tblOdamlar[Kod],tblOdamlar[Ism]),"?"))</f>
        <v/>
      </c>
      <c r="D18" s="5" t="n"/>
      <c r="E18" s="5" t="n"/>
      <c r="F18" s="4" t="n"/>
      <c r="G18" s="9">
        <f>IF(OR(B18="",AND(D18="",E18="")),"",E18-D18)</f>
        <v/>
      </c>
    </row>
    <row r="19">
      <c r="A19" s="7">
        <f>IF(OR(B19&lt;&gt;"",D19&gt;0,E19&gt;0),TODAY(),"")</f>
        <v/>
      </c>
      <c r="B19" s="4" t="n"/>
      <c r="C19" s="8">
        <f>IF(B19="","",IFERROR(XLOOKUP(B19,tblOdamlar[Kod],tblOdamlar[Ism]),"?"))</f>
        <v/>
      </c>
      <c r="D19" s="5" t="n"/>
      <c r="E19" s="5" t="n"/>
      <c r="F19" s="4" t="n"/>
      <c r="G19" s="9">
        <f>IF(OR(B19="",AND(D19="",E19="")),"",E19-D19)</f>
        <v/>
      </c>
    </row>
    <row r="20">
      <c r="A20" s="7">
        <f>IF(OR(B20&lt;&gt;"",D20&gt;0,E20&gt;0),TODAY(),"")</f>
        <v/>
      </c>
      <c r="B20" s="4" t="n"/>
      <c r="C20" s="8">
        <f>IF(B20="","",IFERROR(XLOOKUP(B20,tblOdamlar[Kod],tblOdamlar[Ism]),"?"))</f>
        <v/>
      </c>
      <c r="D20" s="5" t="n"/>
      <c r="E20" s="5" t="n"/>
      <c r="F20" s="4" t="n"/>
      <c r="G20" s="9">
        <f>IF(OR(B20="",AND(D20="",E20="")),"",E20-D20)</f>
        <v/>
      </c>
    </row>
    <row r="21">
      <c r="A21" s="7">
        <f>IF(OR(B21&lt;&gt;"",D21&gt;0,E21&gt;0),TODAY(),"")</f>
        <v/>
      </c>
      <c r="B21" s="4" t="n"/>
      <c r="C21" s="8">
        <f>IF(B21="","",IFERROR(XLOOKUP(B21,tblOdamlar[Kod],tblOdamlar[Ism]),"?"))</f>
        <v/>
      </c>
      <c r="D21" s="5" t="n"/>
      <c r="E21" s="5" t="n"/>
      <c r="F21" s="4" t="n"/>
      <c r="G21" s="9">
        <f>IF(OR(B21="",AND(D21="",E21="")),"",E21-D21)</f>
        <v/>
      </c>
    </row>
    <row r="22">
      <c r="A22" s="7">
        <f>IF(OR(B22&lt;&gt;"",D22&gt;0,E22&gt;0),TODAY(),"")</f>
        <v/>
      </c>
      <c r="B22" s="4" t="n"/>
      <c r="C22" s="8">
        <f>IF(B22="","",IFERROR(XLOOKUP(B22,tblOdamlar[Kod],tblOdamlar[Ism]),"?"))</f>
        <v/>
      </c>
      <c r="D22" s="5" t="n"/>
      <c r="E22" s="5" t="n"/>
      <c r="F22" s="4" t="n"/>
      <c r="G22" s="9">
        <f>IF(OR(B22="",AND(D22="",E22="")),"",E22-D22)</f>
        <v/>
      </c>
    </row>
    <row r="23">
      <c r="A23" s="7">
        <f>IF(OR(B23&lt;&gt;"",D23&gt;0,E23&gt;0),TODAY(),"")</f>
        <v/>
      </c>
      <c r="B23" s="4" t="n"/>
      <c r="C23" s="8">
        <f>IF(B23="","",IFERROR(XLOOKUP(B23,tblOdamlar[Kod],tblOdamlar[Ism]),"?"))</f>
        <v/>
      </c>
      <c r="D23" s="5" t="n"/>
      <c r="E23" s="5" t="n"/>
      <c r="F23" s="4" t="n"/>
      <c r="G23" s="9">
        <f>IF(OR(B23="",AND(D23="",E23="")),"",E23-D23)</f>
        <v/>
      </c>
    </row>
    <row r="24">
      <c r="A24" s="7">
        <f>IF(OR(B24&lt;&gt;"",D24&gt;0,E24&gt;0),TODAY(),"")</f>
        <v/>
      </c>
      <c r="B24" s="4" t="n"/>
      <c r="C24" s="8">
        <f>IF(B24="","",IFERROR(XLOOKUP(B24,tblOdamlar[Kod],tblOdamlar[Ism]),"?"))</f>
        <v/>
      </c>
      <c r="D24" s="5" t="n"/>
      <c r="E24" s="5" t="n"/>
      <c r="F24" s="4" t="n"/>
      <c r="G24" s="9">
        <f>IF(OR(B24="",AND(D24="",E24="")),"",E24-D24)</f>
        <v/>
      </c>
    </row>
    <row r="25">
      <c r="A25" s="7">
        <f>IF(OR(B25&lt;&gt;"",D25&gt;0,E25&gt;0),TODAY(),"")</f>
        <v/>
      </c>
      <c r="B25" s="4" t="n"/>
      <c r="C25" s="8">
        <f>IF(B25="","",IFERROR(XLOOKUP(B25,tblOdamlar[Kod],tblOdamlar[Ism]),"?"))</f>
        <v/>
      </c>
      <c r="D25" s="5" t="n"/>
      <c r="E25" s="5" t="n"/>
      <c r="F25" s="4" t="n"/>
      <c r="G25" s="9">
        <f>IF(OR(B25="",AND(D25="",E25="")),"",E25-D25)</f>
        <v/>
      </c>
    </row>
    <row r="26">
      <c r="A26" s="7">
        <f>IF(OR(B26&lt;&gt;"",D26&gt;0,E26&gt;0),TODAY(),"")</f>
        <v/>
      </c>
      <c r="B26" s="4" t="n"/>
      <c r="C26" s="8">
        <f>IF(B26="","",IFERROR(XLOOKUP(B26,tblOdamlar[Kod],tblOdamlar[Ism]),"?"))</f>
        <v/>
      </c>
      <c r="D26" s="5" t="n"/>
      <c r="E26" s="5" t="n"/>
      <c r="F26" s="4" t="n"/>
      <c r="G26" s="9">
        <f>IF(OR(B26="",AND(D26="",E26="")),"",E26-D26)</f>
        <v/>
      </c>
    </row>
    <row r="27">
      <c r="A27" s="7">
        <f>IF(OR(B27&lt;&gt;"",D27&gt;0,E27&gt;0),TODAY(),"")</f>
        <v/>
      </c>
      <c r="B27" s="4" t="n"/>
      <c r="C27" s="8">
        <f>IF(B27="","",IFERROR(XLOOKUP(B27,tblOdamlar[Kod],tblOdamlar[Ism]),"?"))</f>
        <v/>
      </c>
      <c r="D27" s="5" t="n"/>
      <c r="E27" s="5" t="n"/>
      <c r="F27" s="4" t="n"/>
      <c r="G27" s="9">
        <f>IF(OR(B27="",AND(D27="",E27="")),"",E27-D27)</f>
        <v/>
      </c>
    </row>
    <row r="28">
      <c r="A28" s="7">
        <f>IF(OR(B28&lt;&gt;"",D28&gt;0,E28&gt;0),TODAY(),"")</f>
        <v/>
      </c>
      <c r="B28" s="4" t="n"/>
      <c r="C28" s="8">
        <f>IF(B28="","",IFERROR(XLOOKUP(B28,tblOdamlar[Kod],tblOdamlar[Ism]),"?"))</f>
        <v/>
      </c>
      <c r="D28" s="5" t="n"/>
      <c r="E28" s="5" t="n"/>
      <c r="F28" s="4" t="n"/>
      <c r="G28" s="9">
        <f>IF(OR(B28="",AND(D28="",E28="")),"",E28-D28)</f>
        <v/>
      </c>
    </row>
    <row r="29">
      <c r="A29" s="7">
        <f>IF(OR(B29&lt;&gt;"",D29&gt;0,E29&gt;0),TODAY(),"")</f>
        <v/>
      </c>
      <c r="B29" s="4" t="n"/>
      <c r="C29" s="8">
        <f>IF(B29="","",IFERROR(XLOOKUP(B29,tblOdamlar[Kod],tblOdamlar[Ism]),"?"))</f>
        <v/>
      </c>
      <c r="D29" s="5" t="n"/>
      <c r="E29" s="5" t="n"/>
      <c r="F29" s="4" t="n"/>
      <c r="G29" s="9">
        <f>IF(OR(B29="",AND(D29="",E29="")),"",E29-D29)</f>
        <v/>
      </c>
    </row>
    <row r="30">
      <c r="A30" s="7">
        <f>IF(OR(B30&lt;&gt;"",D30&gt;0,E30&gt;0),TODAY(),"")</f>
        <v/>
      </c>
      <c r="B30" s="4" t="n"/>
      <c r="C30" s="8">
        <f>IF(B30="","",IFERROR(XLOOKUP(B30,tblOdamlar[Kod],tblOdamlar[Ism]),"?"))</f>
        <v/>
      </c>
      <c r="D30" s="5" t="n"/>
      <c r="E30" s="5" t="n"/>
      <c r="F30" s="4" t="n"/>
      <c r="G30" s="9">
        <f>IF(OR(B30="",AND(D30="",E30="")),"",E30-D30)</f>
        <v/>
      </c>
    </row>
    <row r="31">
      <c r="A31" s="7">
        <f>IF(OR(B31&lt;&gt;"",D31&gt;0,E31&gt;0),TODAY(),"")</f>
        <v/>
      </c>
      <c r="B31" s="4" t="n"/>
      <c r="C31" s="8">
        <f>IF(B31="","",IFERROR(XLOOKUP(B31,tblOdamlar[Kod],tblOdamlar[Ism]),"?"))</f>
        <v/>
      </c>
      <c r="D31" s="5" t="n"/>
      <c r="E31" s="5" t="n"/>
      <c r="F31" s="4" t="n"/>
      <c r="G31" s="9">
        <f>IF(OR(B31="",AND(D31="",E31="")),"",E31-D31)</f>
        <v/>
      </c>
    </row>
    <row r="32">
      <c r="A32" s="7">
        <f>IF(OR(B32&lt;&gt;"",D32&gt;0,E32&gt;0),TODAY(),"")</f>
        <v/>
      </c>
      <c r="B32" s="4" t="n"/>
      <c r="C32" s="8">
        <f>IF(B32="","",IFERROR(XLOOKUP(B32,tblOdamlar[Kod],tblOdamlar[Ism]),"?"))</f>
        <v/>
      </c>
      <c r="D32" s="5" t="n"/>
      <c r="E32" s="5" t="n"/>
      <c r="F32" s="4" t="n"/>
      <c r="G32" s="9">
        <f>IF(OR(B32="",AND(D32="",E32="")),"",E32-D32)</f>
        <v/>
      </c>
    </row>
    <row r="33">
      <c r="A33" s="7">
        <f>IF(OR(B33&lt;&gt;"",D33&gt;0,E33&gt;0),TODAY(),"")</f>
        <v/>
      </c>
      <c r="B33" s="4" t="n"/>
      <c r="C33" s="8">
        <f>IF(B33="","",IFERROR(XLOOKUP(B33,tblOdamlar[Kod],tblOdamlar[Ism]),"?"))</f>
        <v/>
      </c>
      <c r="D33" s="5" t="n"/>
      <c r="E33" s="5" t="n"/>
      <c r="F33" s="4" t="n"/>
      <c r="G33" s="9">
        <f>IF(OR(B33="",AND(D33="",E33="")),"",E33-D33)</f>
        <v/>
      </c>
    </row>
    <row r="34">
      <c r="A34" s="7">
        <f>IF(OR(B34&lt;&gt;"",D34&gt;0,E34&gt;0),TODAY(),"")</f>
        <v/>
      </c>
      <c r="B34" s="4" t="n"/>
      <c r="C34" s="8">
        <f>IF(B34="","",IFERROR(XLOOKUP(B34,tblOdamlar[Kod],tblOdamlar[Ism]),"?"))</f>
        <v/>
      </c>
      <c r="D34" s="5" t="n"/>
      <c r="E34" s="5" t="n"/>
      <c r="F34" s="4" t="n"/>
      <c r="G34" s="9">
        <f>IF(OR(B34="",AND(D34="",E34="")),"",E34-D34)</f>
        <v/>
      </c>
    </row>
    <row r="35">
      <c r="A35" s="7">
        <f>IF(OR(B35&lt;&gt;"",D35&gt;0,E35&gt;0),TODAY(),"")</f>
        <v/>
      </c>
      <c r="B35" s="4" t="n"/>
      <c r="C35" s="8">
        <f>IF(B35="","",IFERROR(XLOOKUP(B35,tblOdamlar[Kod],tblOdamlar[Ism]),"?"))</f>
        <v/>
      </c>
      <c r="D35" s="5" t="n"/>
      <c r="E35" s="5" t="n"/>
      <c r="F35" s="4" t="n"/>
      <c r="G35" s="9">
        <f>IF(OR(B35="",AND(D35="",E35="")),"",E35-D35)</f>
        <v/>
      </c>
    </row>
    <row r="36">
      <c r="A36" s="7">
        <f>IF(OR(B36&lt;&gt;"",D36&gt;0,E36&gt;0),TODAY(),"")</f>
        <v/>
      </c>
      <c r="B36" s="4" t="n"/>
      <c r="C36" s="8">
        <f>IF(B36="","",IFERROR(XLOOKUP(B36,tblOdamlar[Kod],tblOdamlar[Ism]),"?"))</f>
        <v/>
      </c>
      <c r="D36" s="5" t="n"/>
      <c r="E36" s="5" t="n"/>
      <c r="F36" s="4" t="n"/>
      <c r="G36" s="9">
        <f>IF(OR(B36="",AND(D36="",E36="")),"",E36-D36)</f>
        <v/>
      </c>
    </row>
    <row r="37">
      <c r="A37" s="7">
        <f>IF(OR(B37&lt;&gt;"",D37&gt;0,E37&gt;0),TODAY(),"")</f>
        <v/>
      </c>
      <c r="B37" s="4" t="n"/>
      <c r="C37" s="8">
        <f>IF(B37="","",IFERROR(XLOOKUP(B37,tblOdamlar[Kod],tblOdamlar[Ism]),"?"))</f>
        <v/>
      </c>
      <c r="D37" s="5" t="n"/>
      <c r="E37" s="5" t="n"/>
      <c r="F37" s="4" t="n"/>
      <c r="G37" s="9">
        <f>IF(OR(B37="",AND(D37="",E37="")),"",E37-D37)</f>
        <v/>
      </c>
    </row>
    <row r="38">
      <c r="A38" s="7">
        <f>IF(OR(B38&lt;&gt;"",D38&gt;0,E38&gt;0),TODAY(),"")</f>
        <v/>
      </c>
      <c r="B38" s="4" t="n"/>
      <c r="C38" s="8">
        <f>IF(B38="","",IFERROR(XLOOKUP(B38,tblOdamlar[Kod],tblOdamlar[Ism]),"?"))</f>
        <v/>
      </c>
      <c r="D38" s="5" t="n"/>
      <c r="E38" s="5" t="n"/>
      <c r="F38" s="4" t="n"/>
      <c r="G38" s="9">
        <f>IF(OR(B38="",AND(D38="",E38="")),"",E38-D38)</f>
        <v/>
      </c>
    </row>
    <row r="39">
      <c r="A39" s="7">
        <f>IF(OR(B39&lt;&gt;"",D39&gt;0,E39&gt;0),TODAY(),"")</f>
        <v/>
      </c>
      <c r="B39" s="4" t="n"/>
      <c r="C39" s="8">
        <f>IF(B39="","",IFERROR(XLOOKUP(B39,tblOdamlar[Kod],tblOdamlar[Ism]),"?"))</f>
        <v/>
      </c>
      <c r="D39" s="5" t="n"/>
      <c r="E39" s="5" t="n"/>
      <c r="F39" s="4" t="n"/>
      <c r="G39" s="9">
        <f>IF(OR(B39="",AND(D39="",E39="")),"",E39-D39)</f>
        <v/>
      </c>
    </row>
    <row r="40">
      <c r="A40" s="7">
        <f>IF(OR(B40&lt;&gt;"",D40&gt;0,E40&gt;0),TODAY(),"")</f>
        <v/>
      </c>
      <c r="B40" s="4" t="n"/>
      <c r="C40" s="8">
        <f>IF(B40="","",IFERROR(XLOOKUP(B40,tblOdamlar[Kod],tblOdamlar[Ism]),"?"))</f>
        <v/>
      </c>
      <c r="D40" s="5" t="n"/>
      <c r="E40" s="5" t="n"/>
      <c r="F40" s="4" t="n"/>
      <c r="G40" s="9">
        <f>IF(OR(B40="",AND(D40="",E40="")),"",E40-D40)</f>
        <v/>
      </c>
    </row>
    <row r="41">
      <c r="A41" s="7">
        <f>IF(OR(B41&lt;&gt;"",D41&gt;0,E41&gt;0),TODAY(),"")</f>
        <v/>
      </c>
      <c r="B41" s="4" t="n"/>
      <c r="C41" s="8">
        <f>IF(B41="","",IFERROR(XLOOKUP(B41,tblOdamlar[Kod],tblOdamlar[Ism]),"?"))</f>
        <v/>
      </c>
      <c r="D41" s="5" t="n"/>
      <c r="E41" s="5" t="n"/>
      <c r="F41" s="4" t="n"/>
      <c r="G41" s="9">
        <f>IF(OR(B41="",AND(D41="",E41="")),"",E41-D41)</f>
        <v/>
      </c>
    </row>
    <row r="42">
      <c r="A42" s="7">
        <f>IF(OR(B42&lt;&gt;"",D42&gt;0,E42&gt;0),TODAY(),"")</f>
        <v/>
      </c>
      <c r="B42" s="4" t="n"/>
      <c r="C42" s="8">
        <f>IF(B42="","",IFERROR(XLOOKUP(B42,tblOdamlar[Kod],tblOdamlar[Ism]),"?"))</f>
        <v/>
      </c>
      <c r="D42" s="5" t="n"/>
      <c r="E42" s="5" t="n"/>
      <c r="F42" s="4" t="n"/>
      <c r="G42" s="9">
        <f>IF(OR(B42="",AND(D42="",E42="")),"",E42-D42)</f>
        <v/>
      </c>
    </row>
    <row r="43">
      <c r="A43" s="7">
        <f>IF(OR(B43&lt;&gt;"",D43&gt;0,E43&gt;0),TODAY(),"")</f>
        <v/>
      </c>
      <c r="B43" s="4" t="n"/>
      <c r="C43" s="8">
        <f>IF(B43="","",IFERROR(XLOOKUP(B43,tblOdamlar[Kod],tblOdamlar[Ism]),"?"))</f>
        <v/>
      </c>
      <c r="D43" s="5" t="n"/>
      <c r="E43" s="5" t="n"/>
      <c r="F43" s="4" t="n"/>
      <c r="G43" s="9">
        <f>IF(OR(B43="",AND(D43="",E43="")),"",E43-D43)</f>
        <v/>
      </c>
    </row>
    <row r="44">
      <c r="A44" s="7">
        <f>IF(OR(B44&lt;&gt;"",D44&gt;0,E44&gt;0),TODAY(),"")</f>
        <v/>
      </c>
      <c r="B44" s="4" t="n"/>
      <c r="C44" s="8">
        <f>IF(B44="","",IFERROR(XLOOKUP(B44,tblOdamlar[Kod],tblOdamlar[Ism]),"?"))</f>
        <v/>
      </c>
      <c r="D44" s="5" t="n"/>
      <c r="E44" s="5" t="n"/>
      <c r="F44" s="4" t="n"/>
      <c r="G44" s="9">
        <f>IF(OR(B44="",AND(D44="",E44="")),"",E44-D44)</f>
        <v/>
      </c>
    </row>
    <row r="45">
      <c r="A45" s="7">
        <f>IF(OR(B45&lt;&gt;"",D45&gt;0,E45&gt;0),TODAY(),"")</f>
        <v/>
      </c>
      <c r="B45" s="4" t="n"/>
      <c r="C45" s="8">
        <f>IF(B45="","",IFERROR(XLOOKUP(B45,tblOdamlar[Kod],tblOdamlar[Ism]),"?"))</f>
        <v/>
      </c>
      <c r="D45" s="5" t="n"/>
      <c r="E45" s="5" t="n"/>
      <c r="F45" s="4" t="n"/>
      <c r="G45" s="9">
        <f>IF(OR(B45="",AND(D45="",E45="")),"",E45-D45)</f>
        <v/>
      </c>
    </row>
    <row r="46">
      <c r="A46" s="7">
        <f>IF(OR(B46&lt;&gt;"",D46&gt;0,E46&gt;0),TODAY(),"")</f>
        <v/>
      </c>
      <c r="B46" s="4" t="n"/>
      <c r="C46" s="8">
        <f>IF(B46="","",IFERROR(XLOOKUP(B46,tblOdamlar[Kod],tblOdamlar[Ism]),"?"))</f>
        <v/>
      </c>
      <c r="D46" s="5" t="n"/>
      <c r="E46" s="5" t="n"/>
      <c r="F46" s="4" t="n"/>
      <c r="G46" s="9">
        <f>IF(OR(B46="",AND(D46="",E46="")),"",E46-D46)</f>
        <v/>
      </c>
    </row>
    <row r="47">
      <c r="A47" s="7">
        <f>IF(OR(B47&lt;&gt;"",D47&gt;0,E47&gt;0),TODAY(),"")</f>
        <v/>
      </c>
      <c r="B47" s="4" t="n"/>
      <c r="C47" s="8">
        <f>IF(B47="","",IFERROR(XLOOKUP(B47,tblOdamlar[Kod],tblOdamlar[Ism]),"?"))</f>
        <v/>
      </c>
      <c r="D47" s="5" t="n"/>
      <c r="E47" s="5" t="n"/>
      <c r="F47" s="4" t="n"/>
      <c r="G47" s="9">
        <f>IF(OR(B47="",AND(D47="",E47="")),"",E47-D47)</f>
        <v/>
      </c>
    </row>
    <row r="48">
      <c r="A48" s="7">
        <f>IF(OR(B48&lt;&gt;"",D48&gt;0,E48&gt;0),TODAY(),"")</f>
        <v/>
      </c>
      <c r="B48" s="4" t="n"/>
      <c r="C48" s="8">
        <f>IF(B48="","",IFERROR(XLOOKUP(B48,tblOdamlar[Kod],tblOdamlar[Ism]),"?"))</f>
        <v/>
      </c>
      <c r="D48" s="5" t="n"/>
      <c r="E48" s="5" t="n"/>
      <c r="F48" s="4" t="n"/>
      <c r="G48" s="9">
        <f>IF(OR(B48="",AND(D48="",E48="")),"",E48-D48)</f>
        <v/>
      </c>
    </row>
    <row r="49">
      <c r="A49" s="7">
        <f>IF(OR(B49&lt;&gt;"",D49&gt;0,E49&gt;0),TODAY(),"")</f>
        <v/>
      </c>
      <c r="B49" s="4" t="n"/>
      <c r="C49" s="8">
        <f>IF(B49="","",IFERROR(XLOOKUP(B49,tblOdamlar[Kod],tblOdamlar[Ism]),"?"))</f>
        <v/>
      </c>
      <c r="D49" s="5" t="n"/>
      <c r="E49" s="5" t="n"/>
      <c r="F49" s="4" t="n"/>
      <c r="G49" s="9">
        <f>IF(OR(B49="",AND(D49="",E49="")),"",E49-D49)</f>
        <v/>
      </c>
    </row>
    <row r="50">
      <c r="A50" s="7">
        <f>IF(OR(B50&lt;&gt;"",D50&gt;0,E50&gt;0),TODAY(),"")</f>
        <v/>
      </c>
      <c r="B50" s="4" t="n"/>
      <c r="C50" s="8">
        <f>IF(B50="","",IFERROR(XLOOKUP(B50,tblOdamlar[Kod],tblOdamlar[Ism]),"?"))</f>
        <v/>
      </c>
      <c r="D50" s="5" t="n"/>
      <c r="E50" s="5" t="n"/>
      <c r="F50" s="4" t="n"/>
      <c r="G50" s="9">
        <f>IF(OR(B50="",AND(D50="",E50="")),"",E50-D50)</f>
        <v/>
      </c>
    </row>
    <row r="51">
      <c r="A51" s="7">
        <f>IF(OR(B51&lt;&gt;"",D51&gt;0,E51&gt;0),TODAY(),"")</f>
        <v/>
      </c>
      <c r="B51" s="4" t="n"/>
      <c r="C51" s="8">
        <f>IF(B51="","",IFERROR(XLOOKUP(B51,tblOdamlar[Kod],tblOdamlar[Ism]),"?"))</f>
        <v/>
      </c>
      <c r="D51" s="5" t="n"/>
      <c r="E51" s="5" t="n"/>
      <c r="F51" s="4" t="n"/>
      <c r="G51" s="9">
        <f>IF(OR(B51="",AND(D51="",E51="")),"",E51-D51)</f>
        <v/>
      </c>
    </row>
    <row r="52">
      <c r="A52" s="7">
        <f>IF(OR(B52&lt;&gt;"",D52&gt;0,E52&gt;0),TODAY(),"")</f>
        <v/>
      </c>
      <c r="B52" s="4" t="n"/>
      <c r="C52" s="8">
        <f>IF(B52="","",IFERROR(XLOOKUP(B52,tblOdamlar[Kod],tblOdamlar[Ism]),"?"))</f>
        <v/>
      </c>
      <c r="D52" s="5" t="n"/>
      <c r="E52" s="5" t="n"/>
      <c r="F52" s="4" t="n"/>
      <c r="G52" s="9">
        <f>IF(OR(B52="",AND(D52="",E52="")),"",E52-D52)</f>
        <v/>
      </c>
    </row>
    <row r="53">
      <c r="A53" s="7">
        <f>IF(OR(B53&lt;&gt;"",D53&gt;0,E53&gt;0),TODAY(),"")</f>
        <v/>
      </c>
      <c r="B53" s="4" t="n"/>
      <c r="C53" s="8">
        <f>IF(B53="","",IFERROR(XLOOKUP(B53,tblOdamlar[Kod],tblOdamlar[Ism]),"?"))</f>
        <v/>
      </c>
      <c r="D53" s="5" t="n"/>
      <c r="E53" s="5" t="n"/>
      <c r="F53" s="4" t="n"/>
      <c r="G53" s="9">
        <f>IF(OR(B53="",AND(D53="",E53="")),"",E53-D53)</f>
        <v/>
      </c>
    </row>
    <row r="54">
      <c r="A54" s="7">
        <f>IF(OR(B54&lt;&gt;"",D54&gt;0,E54&gt;0),TODAY(),"")</f>
        <v/>
      </c>
      <c r="B54" s="4" t="n"/>
      <c r="C54" s="8">
        <f>IF(B54="","",IFERROR(XLOOKUP(B54,tblOdamlar[Kod],tblOdamlar[Ism]),"?"))</f>
        <v/>
      </c>
      <c r="D54" s="5" t="n"/>
      <c r="E54" s="5" t="n"/>
      <c r="F54" s="4" t="n"/>
      <c r="G54" s="9">
        <f>IF(OR(B54="",AND(D54="",E54="")),"",E54-D54)</f>
        <v/>
      </c>
    </row>
    <row r="55">
      <c r="A55" s="7">
        <f>IF(OR(B55&lt;&gt;"",D55&gt;0,E55&gt;0),TODAY(),"")</f>
        <v/>
      </c>
      <c r="B55" s="4" t="n"/>
      <c r="C55" s="8">
        <f>IF(B55="","",IFERROR(XLOOKUP(B55,tblOdamlar[Kod],tblOdamlar[Ism]),"?"))</f>
        <v/>
      </c>
      <c r="D55" s="5" t="n"/>
      <c r="E55" s="5" t="n"/>
      <c r="F55" s="4" t="n"/>
      <c r="G55" s="9">
        <f>IF(OR(B55="",AND(D55="",E55="")),"",E55-D55)</f>
        <v/>
      </c>
    </row>
    <row r="56">
      <c r="A56" s="7">
        <f>IF(OR(B56&lt;&gt;"",D56&gt;0,E56&gt;0),TODAY(),"")</f>
        <v/>
      </c>
      <c r="B56" s="4" t="n"/>
      <c r="C56" s="8">
        <f>IF(B56="","",IFERROR(XLOOKUP(B56,tblOdamlar[Kod],tblOdamlar[Ism]),"?"))</f>
        <v/>
      </c>
      <c r="D56" s="5" t="n"/>
      <c r="E56" s="5" t="n"/>
      <c r="F56" s="4" t="n"/>
      <c r="G56" s="9">
        <f>IF(OR(B56="",AND(D56="",E56="")),"",E56-D56)</f>
        <v/>
      </c>
    </row>
    <row r="57">
      <c r="A57" s="7">
        <f>IF(OR(B57&lt;&gt;"",D57&gt;0,E57&gt;0),TODAY(),"")</f>
        <v/>
      </c>
      <c r="B57" s="4" t="n"/>
      <c r="C57" s="8">
        <f>IF(B57="","",IFERROR(XLOOKUP(B57,tblOdamlar[Kod],tblOdamlar[Ism]),"?"))</f>
        <v/>
      </c>
      <c r="D57" s="5" t="n"/>
      <c r="E57" s="5" t="n"/>
      <c r="F57" s="4" t="n"/>
      <c r="G57" s="9">
        <f>IF(OR(B57="",AND(D57="",E57="")),"",E57-D57)</f>
        <v/>
      </c>
    </row>
    <row r="58">
      <c r="A58" s="7">
        <f>IF(OR(B58&lt;&gt;"",D58&gt;0,E58&gt;0),TODAY(),"")</f>
        <v/>
      </c>
      <c r="B58" s="4" t="n"/>
      <c r="C58" s="8">
        <f>IF(B58="","",IFERROR(XLOOKUP(B58,tblOdamlar[Kod],tblOdamlar[Ism]),"?"))</f>
        <v/>
      </c>
      <c r="D58" s="5" t="n"/>
      <c r="E58" s="5" t="n"/>
      <c r="F58" s="4" t="n"/>
      <c r="G58" s="9">
        <f>IF(OR(B58="",AND(D58="",E58="")),"",E58-D58)</f>
        <v/>
      </c>
    </row>
    <row r="59">
      <c r="A59" s="7">
        <f>IF(OR(B59&lt;&gt;"",D59&gt;0,E59&gt;0),TODAY(),"")</f>
        <v/>
      </c>
      <c r="B59" s="4" t="n"/>
      <c r="C59" s="8">
        <f>IF(B59="","",IFERROR(XLOOKUP(B59,tblOdamlar[Kod],tblOdamlar[Ism]),"?"))</f>
        <v/>
      </c>
      <c r="D59" s="5" t="n"/>
      <c r="E59" s="5" t="n"/>
      <c r="F59" s="4" t="n"/>
      <c r="G59" s="9">
        <f>IF(OR(B59="",AND(D59="",E59="")),"",E59-D59)</f>
        <v/>
      </c>
    </row>
    <row r="60">
      <c r="A60" s="7">
        <f>IF(OR(B60&lt;&gt;"",D60&gt;0,E60&gt;0),TODAY(),"")</f>
        <v/>
      </c>
      <c r="B60" s="4" t="n"/>
      <c r="C60" s="8">
        <f>IF(B60="","",IFERROR(XLOOKUP(B60,tblOdamlar[Kod],tblOdamlar[Ism]),"?"))</f>
        <v/>
      </c>
      <c r="D60" s="5" t="n"/>
      <c r="E60" s="5" t="n"/>
      <c r="F60" s="4" t="n"/>
      <c r="G60" s="9">
        <f>IF(OR(B60="",AND(D60="",E60="")),"",E60-D60)</f>
        <v/>
      </c>
    </row>
    <row r="61">
      <c r="A61" s="7">
        <f>IF(OR(B61&lt;&gt;"",D61&gt;0,E61&gt;0),TODAY(),"")</f>
        <v/>
      </c>
      <c r="B61" s="4" t="n"/>
      <c r="C61" s="8">
        <f>IF(B61="","",IFERROR(XLOOKUP(B61,tblOdamlar[Kod],tblOdamlar[Ism]),"?"))</f>
        <v/>
      </c>
      <c r="D61" s="5" t="n"/>
      <c r="E61" s="5" t="n"/>
      <c r="F61" s="4" t="n"/>
      <c r="G61" s="9">
        <f>IF(OR(B61="",AND(D61="",E61="")),"",E61-D61)</f>
        <v/>
      </c>
    </row>
    <row r="62">
      <c r="A62" s="7">
        <f>IF(OR(B62&lt;&gt;"",D62&gt;0,E62&gt;0),TODAY(),"")</f>
        <v/>
      </c>
      <c r="B62" s="4" t="n"/>
      <c r="C62" s="8">
        <f>IF(B62="","",IFERROR(XLOOKUP(B62,tblOdamlar[Kod],tblOdamlar[Ism]),"?"))</f>
        <v/>
      </c>
      <c r="D62" s="5" t="n"/>
      <c r="E62" s="5" t="n"/>
      <c r="F62" s="4" t="n"/>
      <c r="G62" s="9">
        <f>IF(OR(B62="",AND(D62="",E62="")),"",E62-D62)</f>
        <v/>
      </c>
    </row>
    <row r="63">
      <c r="A63" s="7">
        <f>IF(OR(B63&lt;&gt;"",D63&gt;0,E63&gt;0),TODAY(),"")</f>
        <v/>
      </c>
      <c r="B63" s="4" t="n"/>
      <c r="C63" s="8">
        <f>IF(B63="","",IFERROR(XLOOKUP(B63,tblOdamlar[Kod],tblOdamlar[Ism]),"?"))</f>
        <v/>
      </c>
      <c r="D63" s="5" t="n"/>
      <c r="E63" s="5" t="n"/>
      <c r="F63" s="4" t="n"/>
      <c r="G63" s="9">
        <f>IF(OR(B63="",AND(D63="",E63="")),"",E63-D63)</f>
        <v/>
      </c>
    </row>
    <row r="64">
      <c r="A64" s="7">
        <f>IF(OR(B64&lt;&gt;"",D64&gt;0,E64&gt;0),TODAY(),"")</f>
        <v/>
      </c>
      <c r="B64" s="4" t="n"/>
      <c r="C64" s="8">
        <f>IF(B64="","",IFERROR(XLOOKUP(B64,tblOdamlar[Kod],tblOdamlar[Ism]),"?"))</f>
        <v/>
      </c>
      <c r="D64" s="5" t="n"/>
      <c r="E64" s="5" t="n"/>
      <c r="F64" s="4" t="n"/>
      <c r="G64" s="9">
        <f>IF(OR(B64="",AND(D64="",E64="")),"",E64-D64)</f>
        <v/>
      </c>
    </row>
    <row r="65">
      <c r="A65" s="7">
        <f>IF(OR(B65&lt;&gt;"",D65&gt;0,E65&gt;0),TODAY(),"")</f>
        <v/>
      </c>
      <c r="B65" s="4" t="n"/>
      <c r="C65" s="8">
        <f>IF(B65="","",IFERROR(XLOOKUP(B65,tblOdamlar[Kod],tblOdamlar[Ism]),"?"))</f>
        <v/>
      </c>
      <c r="D65" s="5" t="n"/>
      <c r="E65" s="5" t="n"/>
      <c r="F65" s="4" t="n"/>
      <c r="G65" s="9">
        <f>IF(OR(B65="",AND(D65="",E65="")),"",E65-D65)</f>
        <v/>
      </c>
    </row>
    <row r="66">
      <c r="A66" s="7">
        <f>IF(OR(B66&lt;&gt;"",D66&gt;0,E66&gt;0),TODAY(),"")</f>
        <v/>
      </c>
      <c r="B66" s="4" t="n"/>
      <c r="C66" s="8">
        <f>IF(B66="","",IFERROR(XLOOKUP(B66,tblOdamlar[Kod],tblOdamlar[Ism]),"?"))</f>
        <v/>
      </c>
      <c r="D66" s="5" t="n"/>
      <c r="E66" s="5" t="n"/>
      <c r="F66" s="4" t="n"/>
      <c r="G66" s="9">
        <f>IF(OR(B66="",AND(D66="",E66="")),"",E66-D66)</f>
        <v/>
      </c>
    </row>
    <row r="67">
      <c r="A67" s="7">
        <f>IF(OR(B67&lt;&gt;"",D67&gt;0,E67&gt;0),TODAY(),"")</f>
        <v/>
      </c>
      <c r="B67" s="4" t="n"/>
      <c r="C67" s="8">
        <f>IF(B67="","",IFERROR(XLOOKUP(B67,tblOdamlar[Kod],tblOdamlar[Ism]),"?"))</f>
        <v/>
      </c>
      <c r="D67" s="5" t="n"/>
      <c r="E67" s="5" t="n"/>
      <c r="F67" s="4" t="n"/>
      <c r="G67" s="9">
        <f>IF(OR(B67="",AND(D67="",E67="")),"",E67-D67)</f>
        <v/>
      </c>
    </row>
    <row r="68">
      <c r="A68" s="7">
        <f>IF(OR(B68&lt;&gt;"",D68&gt;0,E68&gt;0),TODAY(),"")</f>
        <v/>
      </c>
      <c r="B68" s="4" t="n"/>
      <c r="C68" s="8">
        <f>IF(B68="","",IFERROR(XLOOKUP(B68,tblOdamlar[Kod],tblOdamlar[Ism]),"?"))</f>
        <v/>
      </c>
      <c r="D68" s="5" t="n"/>
      <c r="E68" s="5" t="n"/>
      <c r="F68" s="4" t="n"/>
      <c r="G68" s="9">
        <f>IF(OR(B68="",AND(D68="",E68="")),"",E68-D68)</f>
        <v/>
      </c>
    </row>
    <row r="69">
      <c r="A69" s="7">
        <f>IF(OR(B69&lt;&gt;"",D69&gt;0,E69&gt;0),TODAY(),"")</f>
        <v/>
      </c>
      <c r="B69" s="4" t="n"/>
      <c r="C69" s="8">
        <f>IF(B69="","",IFERROR(XLOOKUP(B69,tblOdamlar[Kod],tblOdamlar[Ism]),"?"))</f>
        <v/>
      </c>
      <c r="D69" s="5" t="n"/>
      <c r="E69" s="5" t="n"/>
      <c r="F69" s="4" t="n"/>
      <c r="G69" s="9">
        <f>IF(OR(B69="",AND(D69="",E69="")),"",E69-D69)</f>
        <v/>
      </c>
    </row>
    <row r="70">
      <c r="A70" s="7">
        <f>IF(OR(B70&lt;&gt;"",D70&gt;0,E70&gt;0),TODAY(),"")</f>
        <v/>
      </c>
      <c r="B70" s="4" t="n"/>
      <c r="C70" s="8">
        <f>IF(B70="","",IFERROR(XLOOKUP(B70,tblOdamlar[Kod],tblOdamlar[Ism]),"?"))</f>
        <v/>
      </c>
      <c r="D70" s="5" t="n"/>
      <c r="E70" s="5" t="n"/>
      <c r="F70" s="4" t="n"/>
      <c r="G70" s="9">
        <f>IF(OR(B70="",AND(D70="",E70="")),"",E70-D70)</f>
        <v/>
      </c>
    </row>
    <row r="71">
      <c r="A71" s="7">
        <f>IF(OR(B71&lt;&gt;"",D71&gt;0,E71&gt;0),TODAY(),"")</f>
        <v/>
      </c>
      <c r="B71" s="4" t="n"/>
      <c r="C71" s="8">
        <f>IF(B71="","",IFERROR(XLOOKUP(B71,tblOdamlar[Kod],tblOdamlar[Ism]),"?"))</f>
        <v/>
      </c>
      <c r="D71" s="5" t="n"/>
      <c r="E71" s="5" t="n"/>
      <c r="F71" s="4" t="n"/>
      <c r="G71" s="9">
        <f>IF(OR(B71="",AND(D71="",E71="")),"",E71-D71)</f>
        <v/>
      </c>
    </row>
    <row r="72">
      <c r="A72" s="7">
        <f>IF(OR(B72&lt;&gt;"",D72&gt;0,E72&gt;0),TODAY(),"")</f>
        <v/>
      </c>
      <c r="B72" s="4" t="n"/>
      <c r="C72" s="8">
        <f>IF(B72="","",IFERROR(XLOOKUP(B72,tblOdamlar[Kod],tblOdamlar[Ism]),"?"))</f>
        <v/>
      </c>
      <c r="D72" s="5" t="n"/>
      <c r="E72" s="5" t="n"/>
      <c r="F72" s="4" t="n"/>
      <c r="G72" s="9">
        <f>IF(OR(B72="",AND(D72="",E72="")),"",E72-D72)</f>
        <v/>
      </c>
    </row>
    <row r="73">
      <c r="A73" s="7">
        <f>IF(OR(B73&lt;&gt;"",D73&gt;0,E73&gt;0),TODAY(),"")</f>
        <v/>
      </c>
      <c r="B73" s="4" t="n"/>
      <c r="C73" s="8">
        <f>IF(B73="","",IFERROR(XLOOKUP(B73,tblOdamlar[Kod],tblOdamlar[Ism]),"?"))</f>
        <v/>
      </c>
      <c r="D73" s="5" t="n"/>
      <c r="E73" s="5" t="n"/>
      <c r="F73" s="4" t="n"/>
      <c r="G73" s="9">
        <f>IF(OR(B73="",AND(D73="",E73="")),"",E73-D73)</f>
        <v/>
      </c>
    </row>
    <row r="74">
      <c r="A74" s="7">
        <f>IF(OR(B74&lt;&gt;"",D74&gt;0,E74&gt;0),TODAY(),"")</f>
        <v/>
      </c>
      <c r="B74" s="4" t="n"/>
      <c r="C74" s="8">
        <f>IF(B74="","",IFERROR(XLOOKUP(B74,tblOdamlar[Kod],tblOdamlar[Ism]),"?"))</f>
        <v/>
      </c>
      <c r="D74" s="5" t="n"/>
      <c r="E74" s="5" t="n"/>
      <c r="F74" s="4" t="n"/>
      <c r="G74" s="9">
        <f>IF(OR(B74="",AND(D74="",E74="")),"",E74-D74)</f>
        <v/>
      </c>
    </row>
    <row r="75">
      <c r="A75" s="7">
        <f>IF(OR(B75&lt;&gt;"",D75&gt;0,E75&gt;0),TODAY(),"")</f>
        <v/>
      </c>
      <c r="B75" s="4" t="n"/>
      <c r="C75" s="8">
        <f>IF(B75="","",IFERROR(XLOOKUP(B75,tblOdamlar[Kod],tblOdamlar[Ism]),"?"))</f>
        <v/>
      </c>
      <c r="D75" s="5" t="n"/>
      <c r="E75" s="5" t="n"/>
      <c r="F75" s="4" t="n"/>
      <c r="G75" s="9">
        <f>IF(OR(B75="",AND(D75="",E75="")),"",E75-D75)</f>
        <v/>
      </c>
    </row>
    <row r="76">
      <c r="A76" s="7">
        <f>IF(OR(B76&lt;&gt;"",D76&gt;0,E76&gt;0),TODAY(),"")</f>
        <v/>
      </c>
      <c r="B76" s="4" t="n"/>
      <c r="C76" s="8">
        <f>IF(B76="","",IFERROR(XLOOKUP(B76,tblOdamlar[Kod],tblOdamlar[Ism]),"?"))</f>
        <v/>
      </c>
      <c r="D76" s="5" t="n"/>
      <c r="E76" s="5" t="n"/>
      <c r="F76" s="4" t="n"/>
      <c r="G76" s="9">
        <f>IF(OR(B76="",AND(D76="",E76="")),"",E76-D76)</f>
        <v/>
      </c>
    </row>
    <row r="77">
      <c r="A77" s="7">
        <f>IF(OR(B77&lt;&gt;"",D77&gt;0,E77&gt;0),TODAY(),"")</f>
        <v/>
      </c>
      <c r="B77" s="4" t="n"/>
      <c r="C77" s="8">
        <f>IF(B77="","",IFERROR(XLOOKUP(B77,tblOdamlar[Kod],tblOdamlar[Ism]),"?"))</f>
        <v/>
      </c>
      <c r="D77" s="5" t="n"/>
      <c r="E77" s="5" t="n"/>
      <c r="F77" s="4" t="n"/>
      <c r="G77" s="9">
        <f>IF(OR(B77="",AND(D77="",E77="")),"",E77-D77)</f>
        <v/>
      </c>
    </row>
    <row r="78">
      <c r="A78" s="7">
        <f>IF(OR(B78&lt;&gt;"",D78&gt;0,E78&gt;0),TODAY(),"")</f>
        <v/>
      </c>
      <c r="B78" s="4" t="n"/>
      <c r="C78" s="8">
        <f>IF(B78="","",IFERROR(XLOOKUP(B78,tblOdamlar[Kod],tblOdamlar[Ism]),"?"))</f>
        <v/>
      </c>
      <c r="D78" s="5" t="n"/>
      <c r="E78" s="5" t="n"/>
      <c r="F78" s="4" t="n"/>
      <c r="G78" s="9">
        <f>IF(OR(B78="",AND(D78="",E78="")),"",E78-D78)</f>
        <v/>
      </c>
    </row>
    <row r="79">
      <c r="A79" s="7">
        <f>IF(OR(B79&lt;&gt;"",D79&gt;0,E79&gt;0),TODAY(),"")</f>
        <v/>
      </c>
      <c r="B79" s="4" t="n"/>
      <c r="C79" s="8">
        <f>IF(B79="","",IFERROR(XLOOKUP(B79,tblOdamlar[Kod],tblOdamlar[Ism]),"?"))</f>
        <v/>
      </c>
      <c r="D79" s="5" t="n"/>
      <c r="E79" s="5" t="n"/>
      <c r="F79" s="4" t="n"/>
      <c r="G79" s="9">
        <f>IF(OR(B79="",AND(D79="",E79="")),"",E79-D79)</f>
        <v/>
      </c>
    </row>
    <row r="80">
      <c r="A80" s="7">
        <f>IF(OR(B80&lt;&gt;"",D80&gt;0,E80&gt;0),TODAY(),"")</f>
        <v/>
      </c>
      <c r="B80" s="4" t="n"/>
      <c r="C80" s="8">
        <f>IF(B80="","",IFERROR(XLOOKUP(B80,tblOdamlar[Kod],tblOdamlar[Ism]),"?"))</f>
        <v/>
      </c>
      <c r="D80" s="5" t="n"/>
      <c r="E80" s="5" t="n"/>
      <c r="F80" s="4" t="n"/>
      <c r="G80" s="9">
        <f>IF(OR(B80="",AND(D80="",E80="")),"",E80-D80)</f>
        <v/>
      </c>
    </row>
    <row r="81">
      <c r="A81" s="7">
        <f>IF(OR(B81&lt;&gt;"",D81&gt;0,E81&gt;0),TODAY(),"")</f>
        <v/>
      </c>
      <c r="B81" s="4" t="n"/>
      <c r="C81" s="8">
        <f>IF(B81="","",IFERROR(XLOOKUP(B81,tblOdamlar[Kod],tblOdamlar[Ism]),"?"))</f>
        <v/>
      </c>
      <c r="D81" s="5" t="n"/>
      <c r="E81" s="5" t="n"/>
      <c r="F81" s="4" t="n"/>
      <c r="G81" s="9">
        <f>IF(OR(B81="",AND(D81="",E81="")),"",E81-D81)</f>
        <v/>
      </c>
    </row>
    <row r="82">
      <c r="A82" s="7">
        <f>IF(OR(B82&lt;&gt;"",D82&gt;0,E82&gt;0),TODAY(),"")</f>
        <v/>
      </c>
      <c r="B82" s="4" t="n"/>
      <c r="C82" s="8">
        <f>IF(B82="","",IFERROR(XLOOKUP(B82,tblOdamlar[Kod],tblOdamlar[Ism]),"?"))</f>
        <v/>
      </c>
      <c r="D82" s="5" t="n"/>
      <c r="E82" s="5" t="n"/>
      <c r="F82" s="4" t="n"/>
      <c r="G82" s="9">
        <f>IF(OR(B82="",AND(D82="",E82="")),"",E82-D82)</f>
        <v/>
      </c>
    </row>
    <row r="83">
      <c r="A83" s="7">
        <f>IF(OR(B83&lt;&gt;"",D83&gt;0,E83&gt;0),TODAY(),"")</f>
        <v/>
      </c>
      <c r="B83" s="4" t="n"/>
      <c r="C83" s="8">
        <f>IF(B83="","",IFERROR(XLOOKUP(B83,tblOdamlar[Kod],tblOdamlar[Ism]),"?"))</f>
        <v/>
      </c>
      <c r="D83" s="5" t="n"/>
      <c r="E83" s="5" t="n"/>
      <c r="F83" s="4" t="n"/>
      <c r="G83" s="9">
        <f>IF(OR(B83="",AND(D83="",E83="")),"",E83-D83)</f>
        <v/>
      </c>
    </row>
    <row r="84">
      <c r="A84" s="7">
        <f>IF(OR(B84&lt;&gt;"",D84&gt;0,E84&gt;0),TODAY(),"")</f>
        <v/>
      </c>
      <c r="B84" s="4" t="n"/>
      <c r="C84" s="8">
        <f>IF(B84="","",IFERROR(XLOOKUP(B84,tblOdamlar[Kod],tblOdamlar[Ism]),"?"))</f>
        <v/>
      </c>
      <c r="D84" s="5" t="n"/>
      <c r="E84" s="5" t="n"/>
      <c r="F84" s="4" t="n"/>
      <c r="G84" s="9">
        <f>IF(OR(B84="",AND(D84="",E84="")),"",E84-D84)</f>
        <v/>
      </c>
    </row>
    <row r="85">
      <c r="A85" s="7">
        <f>IF(OR(B85&lt;&gt;"",D85&gt;0,E85&gt;0),TODAY(),"")</f>
        <v/>
      </c>
      <c r="B85" s="4" t="n"/>
      <c r="C85" s="8">
        <f>IF(B85="","",IFERROR(XLOOKUP(B85,tblOdamlar[Kod],tblOdamlar[Ism]),"?"))</f>
        <v/>
      </c>
      <c r="D85" s="5" t="n"/>
      <c r="E85" s="5" t="n"/>
      <c r="F85" s="4" t="n"/>
      <c r="G85" s="9">
        <f>IF(OR(B85="",AND(D85="",E85="")),"",E85-D85)</f>
        <v/>
      </c>
    </row>
    <row r="86">
      <c r="A86" s="7">
        <f>IF(OR(B86&lt;&gt;"",D86&gt;0,E86&gt;0),TODAY(),"")</f>
        <v/>
      </c>
      <c r="B86" s="4" t="n"/>
      <c r="C86" s="8">
        <f>IF(B86="","",IFERROR(XLOOKUP(B86,tblOdamlar[Kod],tblOdamlar[Ism]),"?"))</f>
        <v/>
      </c>
      <c r="D86" s="5" t="n"/>
      <c r="E86" s="5" t="n"/>
      <c r="F86" s="4" t="n"/>
      <c r="G86" s="9">
        <f>IF(OR(B86="",AND(D86="",E86="")),"",E86-D86)</f>
        <v/>
      </c>
    </row>
    <row r="87">
      <c r="A87" s="7">
        <f>IF(OR(B87&lt;&gt;"",D87&gt;0,E87&gt;0),TODAY(),"")</f>
        <v/>
      </c>
      <c r="B87" s="4" t="n"/>
      <c r="C87" s="8">
        <f>IF(B87="","",IFERROR(XLOOKUP(B87,tblOdamlar[Kod],tblOdamlar[Ism]),"?"))</f>
        <v/>
      </c>
      <c r="D87" s="5" t="n"/>
      <c r="E87" s="5" t="n"/>
      <c r="F87" s="4" t="n"/>
      <c r="G87" s="9">
        <f>IF(OR(B87="",AND(D87="",E87="")),"",E87-D87)</f>
        <v/>
      </c>
    </row>
    <row r="88">
      <c r="A88" s="7">
        <f>IF(OR(B88&lt;&gt;"",D88&gt;0,E88&gt;0),TODAY(),"")</f>
        <v/>
      </c>
      <c r="B88" s="4" t="n"/>
      <c r="C88" s="8">
        <f>IF(B88="","",IFERROR(XLOOKUP(B88,tblOdamlar[Kod],tblOdamlar[Ism]),"?"))</f>
        <v/>
      </c>
      <c r="D88" s="5" t="n"/>
      <c r="E88" s="5" t="n"/>
      <c r="F88" s="4" t="n"/>
      <c r="G88" s="9">
        <f>IF(OR(B88="",AND(D88="",E88="")),"",E88-D88)</f>
        <v/>
      </c>
    </row>
    <row r="89">
      <c r="A89" s="7">
        <f>IF(OR(B89&lt;&gt;"",D89&gt;0,E89&gt;0),TODAY(),"")</f>
        <v/>
      </c>
      <c r="B89" s="4" t="n"/>
      <c r="C89" s="8">
        <f>IF(B89="","",IFERROR(XLOOKUP(B89,tblOdamlar[Kod],tblOdamlar[Ism]),"?"))</f>
        <v/>
      </c>
      <c r="D89" s="5" t="n"/>
      <c r="E89" s="5" t="n"/>
      <c r="F89" s="4" t="n"/>
      <c r="G89" s="9">
        <f>IF(OR(B89="",AND(D89="",E89="")),"",E89-D89)</f>
        <v/>
      </c>
    </row>
    <row r="90">
      <c r="A90" s="7">
        <f>IF(OR(B90&lt;&gt;"",D90&gt;0,E90&gt;0),TODAY(),"")</f>
        <v/>
      </c>
      <c r="B90" s="4" t="n"/>
      <c r="C90" s="8">
        <f>IF(B90="","",IFERROR(XLOOKUP(B90,tblOdamlar[Kod],tblOdamlar[Ism]),"?"))</f>
        <v/>
      </c>
      <c r="D90" s="5" t="n"/>
      <c r="E90" s="5" t="n"/>
      <c r="F90" s="4" t="n"/>
      <c r="G90" s="9">
        <f>IF(OR(B90="",AND(D90="",E90="")),"",E90-D90)</f>
        <v/>
      </c>
    </row>
    <row r="91">
      <c r="A91" s="7">
        <f>IF(OR(B91&lt;&gt;"",D91&gt;0,E91&gt;0),TODAY(),"")</f>
        <v/>
      </c>
      <c r="B91" s="4" t="n"/>
      <c r="C91" s="8">
        <f>IF(B91="","",IFERROR(XLOOKUP(B91,tblOdamlar[Kod],tblOdamlar[Ism]),"?"))</f>
        <v/>
      </c>
      <c r="D91" s="5" t="n"/>
      <c r="E91" s="5" t="n"/>
      <c r="F91" s="4" t="n"/>
      <c r="G91" s="9">
        <f>IF(OR(B91="",AND(D91="",E91="")),"",E91-D91)</f>
        <v/>
      </c>
    </row>
    <row r="92">
      <c r="A92" s="7">
        <f>IF(OR(B92&lt;&gt;"",D92&gt;0,E92&gt;0),TODAY(),"")</f>
        <v/>
      </c>
      <c r="B92" s="4" t="n"/>
      <c r="C92" s="8">
        <f>IF(B92="","",IFERROR(XLOOKUP(B92,tblOdamlar[Kod],tblOdamlar[Ism]),"?"))</f>
        <v/>
      </c>
      <c r="D92" s="5" t="n"/>
      <c r="E92" s="5" t="n"/>
      <c r="F92" s="4" t="n"/>
      <c r="G92" s="9">
        <f>IF(OR(B92="",AND(D92="",E92="")),"",E92-D92)</f>
        <v/>
      </c>
    </row>
    <row r="93">
      <c r="A93" s="7">
        <f>IF(OR(B93&lt;&gt;"",D93&gt;0,E93&gt;0),TODAY(),"")</f>
        <v/>
      </c>
      <c r="B93" s="4" t="n"/>
      <c r="C93" s="8">
        <f>IF(B93="","",IFERROR(XLOOKUP(B93,tblOdamlar[Kod],tblOdamlar[Ism]),"?"))</f>
        <v/>
      </c>
      <c r="D93" s="5" t="n"/>
      <c r="E93" s="5" t="n"/>
      <c r="F93" s="4" t="n"/>
      <c r="G93" s="9">
        <f>IF(OR(B93="",AND(D93="",E93="")),"",E93-D93)</f>
        <v/>
      </c>
    </row>
    <row r="94">
      <c r="A94" s="7">
        <f>IF(OR(B94&lt;&gt;"",D94&gt;0,E94&gt;0),TODAY(),"")</f>
        <v/>
      </c>
      <c r="B94" s="4" t="n"/>
      <c r="C94" s="8">
        <f>IF(B94="","",IFERROR(XLOOKUP(B94,tblOdamlar[Kod],tblOdamlar[Ism]),"?"))</f>
        <v/>
      </c>
      <c r="D94" s="5" t="n"/>
      <c r="E94" s="5" t="n"/>
      <c r="F94" s="4" t="n"/>
      <c r="G94" s="9">
        <f>IF(OR(B94="",AND(D94="",E94="")),"",E94-D94)</f>
        <v/>
      </c>
    </row>
    <row r="95">
      <c r="A95" s="7">
        <f>IF(OR(B95&lt;&gt;"",D95&gt;0,E95&gt;0),TODAY(),"")</f>
        <v/>
      </c>
      <c r="B95" s="4" t="n"/>
      <c r="C95" s="8">
        <f>IF(B95="","",IFERROR(XLOOKUP(B95,tblOdamlar[Kod],tblOdamlar[Ism]),"?"))</f>
        <v/>
      </c>
      <c r="D95" s="5" t="n"/>
      <c r="E95" s="5" t="n"/>
      <c r="F95" s="4" t="n"/>
      <c r="G95" s="9">
        <f>IF(OR(B95="",AND(D95="",E95="")),"",E95-D95)</f>
        <v/>
      </c>
    </row>
    <row r="96">
      <c r="A96" s="7">
        <f>IF(OR(B96&lt;&gt;"",D96&gt;0,E96&gt;0),TODAY(),"")</f>
        <v/>
      </c>
      <c r="B96" s="4" t="n"/>
      <c r="C96" s="8">
        <f>IF(B96="","",IFERROR(XLOOKUP(B96,tblOdamlar[Kod],tblOdamlar[Ism]),"?"))</f>
        <v/>
      </c>
      <c r="D96" s="5" t="n"/>
      <c r="E96" s="5" t="n"/>
      <c r="F96" s="4" t="n"/>
      <c r="G96" s="9">
        <f>IF(OR(B96="",AND(D96="",E96="")),"",E96-D96)</f>
        <v/>
      </c>
    </row>
    <row r="97">
      <c r="A97" s="7">
        <f>IF(OR(B97&lt;&gt;"",D97&gt;0,E97&gt;0),TODAY(),"")</f>
        <v/>
      </c>
      <c r="B97" s="4" t="n"/>
      <c r="C97" s="8">
        <f>IF(B97="","",IFERROR(XLOOKUP(B97,tblOdamlar[Kod],tblOdamlar[Ism]),"?"))</f>
        <v/>
      </c>
      <c r="D97" s="5" t="n"/>
      <c r="E97" s="5" t="n"/>
      <c r="F97" s="4" t="n"/>
      <c r="G97" s="9">
        <f>IF(OR(B97="",AND(D97="",E97="")),"",E97-D97)</f>
        <v/>
      </c>
    </row>
    <row r="98">
      <c r="A98" s="7">
        <f>IF(OR(B98&lt;&gt;"",D98&gt;0,E98&gt;0),TODAY(),"")</f>
        <v/>
      </c>
      <c r="B98" s="4" t="n"/>
      <c r="C98" s="8">
        <f>IF(B98="","",IFERROR(XLOOKUP(B98,tblOdamlar[Kod],tblOdamlar[Ism]),"?"))</f>
        <v/>
      </c>
      <c r="D98" s="5" t="n"/>
      <c r="E98" s="5" t="n"/>
      <c r="F98" s="4" t="n"/>
      <c r="G98" s="9">
        <f>IF(OR(B98="",AND(D98="",E98="")),"",E98-D98)</f>
        <v/>
      </c>
    </row>
    <row r="99">
      <c r="A99" s="7">
        <f>IF(OR(B99&lt;&gt;"",D99&gt;0,E99&gt;0),TODAY(),"")</f>
        <v/>
      </c>
      <c r="B99" s="4" t="n"/>
      <c r="C99" s="8">
        <f>IF(B99="","",IFERROR(XLOOKUP(B99,tblOdamlar[Kod],tblOdamlar[Ism]),"?"))</f>
        <v/>
      </c>
      <c r="D99" s="5" t="n"/>
      <c r="E99" s="5" t="n"/>
      <c r="F99" s="4" t="n"/>
      <c r="G99" s="9">
        <f>IF(OR(B99="",AND(D99="",E99="")),"",E99-D99)</f>
        <v/>
      </c>
    </row>
    <row r="100">
      <c r="A100" s="7">
        <f>IF(OR(B100&lt;&gt;"",D100&gt;0,E100&gt;0),TODAY(),"")</f>
        <v/>
      </c>
      <c r="B100" s="4" t="n"/>
      <c r="C100" s="8">
        <f>IF(B100="","",IFERROR(XLOOKUP(B100,tblOdamlar[Kod],tblOdamlar[Ism]),"?"))</f>
        <v/>
      </c>
      <c r="D100" s="5" t="n"/>
      <c r="E100" s="5" t="n"/>
      <c r="F100" s="4" t="n"/>
      <c r="G100" s="9">
        <f>IF(OR(B100="",AND(D100="",E100="")),"",E100-D100)</f>
        <v/>
      </c>
    </row>
    <row r="101">
      <c r="A101" s="7">
        <f>IF(OR(B101&lt;&gt;"",D101&gt;0,E101&gt;0),TODAY(),"")</f>
        <v/>
      </c>
      <c r="B101" s="4" t="n"/>
      <c r="C101" s="8">
        <f>IF(B101="","",IFERROR(XLOOKUP(B101,tblOdamlar[Kod],tblOdamlar[Ism]),"?"))</f>
        <v/>
      </c>
      <c r="D101" s="5" t="n"/>
      <c r="E101" s="5" t="n"/>
      <c r="F101" s="4" t="n"/>
      <c r="G101" s="9">
        <f>IF(OR(B101="",AND(D101="",E101="")),"",E101-D101)</f>
        <v/>
      </c>
    </row>
    <row r="102">
      <c r="A102" s="7">
        <f>IF(OR(B102&lt;&gt;"",D102&gt;0,E102&gt;0),TODAY(),"")</f>
        <v/>
      </c>
      <c r="B102" s="4" t="n"/>
      <c r="C102" s="8">
        <f>IF(B102="","",IFERROR(XLOOKUP(B102,tblOdamlar[Kod],tblOdamlar[Ism]),"?"))</f>
        <v/>
      </c>
      <c r="D102" s="5" t="n"/>
      <c r="E102" s="5" t="n"/>
      <c r="F102" s="4" t="n"/>
      <c r="G102" s="9">
        <f>IF(OR(B102="",AND(D102="",E102="")),"",E102-D102)</f>
        <v/>
      </c>
    </row>
    <row r="103">
      <c r="A103" s="7">
        <f>IF(OR(B103&lt;&gt;"",D103&gt;0,E103&gt;0),TODAY(),"")</f>
        <v/>
      </c>
      <c r="B103" s="4" t="n"/>
      <c r="C103" s="8">
        <f>IF(B103="","",IFERROR(XLOOKUP(B103,tblOdamlar[Kod],tblOdamlar[Ism]),"?"))</f>
        <v/>
      </c>
      <c r="D103" s="5" t="n"/>
      <c r="E103" s="5" t="n"/>
      <c r="F103" s="4" t="n"/>
      <c r="G103" s="9">
        <f>IF(OR(B103="",AND(D103="",E103="")),"",E103-D103)</f>
        <v/>
      </c>
    </row>
    <row r="104">
      <c r="A104" s="7">
        <f>IF(OR(B104&lt;&gt;"",D104&gt;0,E104&gt;0),TODAY(),"")</f>
        <v/>
      </c>
      <c r="B104" s="4" t="n"/>
      <c r="C104" s="8">
        <f>IF(B104="","",IFERROR(XLOOKUP(B104,tblOdamlar[Kod],tblOdamlar[Ism]),"?"))</f>
        <v/>
      </c>
      <c r="D104" s="5" t="n"/>
      <c r="E104" s="5" t="n"/>
      <c r="F104" s="4" t="n"/>
      <c r="G104" s="9">
        <f>IF(OR(B104="",AND(D104="",E104="")),"",E104-D104)</f>
        <v/>
      </c>
    </row>
    <row r="105"/>
    <row r="106"/>
    <row r="107">
      <c r="A107" s="10" t="inlineStr">
        <is>
          <t>Odamlar balansi (kod bo'yicha)</t>
        </is>
      </c>
    </row>
    <row r="108" ht="30" customHeight="1">
      <c r="A108" s="3" t="inlineStr">
        <is>
          <t>Kod</t>
        </is>
      </c>
      <c r="B108" s="3" t="inlineStr">
        <is>
          <t>Ism</t>
        </is>
      </c>
      <c r="C108" s="3" t="inlineStr">
        <is>
          <t>Balans</t>
        </is>
      </c>
      <c r="D108" s="3" t="inlineStr">
        <is>
          <t>Ma'nosi</t>
        </is>
      </c>
    </row>
    <row r="109">
      <c r="A109" s="4" t="inlineStr">
        <is>
          <t>SH</t>
        </is>
      </c>
      <c r="B109" s="8">
        <f>IFERROR(XLOOKUP(A109,tblOdamlar[Kod],tblOdamlar[Ism]),"?")</f>
        <v/>
      </c>
      <c r="C109" s="9">
        <f>SUMIFS(tblOldiBerdi[Qator_balans],tblOldiBerdi[Kod],A109)</f>
        <v/>
      </c>
      <c r="D109" s="8">
        <f>IF(C109&gt;0,"Bizga qarz (+"&amp;TEXT(C109,"#,##0")&amp;")",IF(C109&lt;0,"Bizdan qarz ("&amp;TEXT(C109,"#,##0")&amp;")","Hisob yo'q"))</f>
        <v/>
      </c>
    </row>
    <row r="110">
      <c r="A110" s="4" t="inlineStr">
        <is>
          <t>JA</t>
        </is>
      </c>
      <c r="B110" s="8">
        <f>IFERROR(XLOOKUP(A110,tblOdamlar[Kod],tblOdamlar[Ism]),"?")</f>
        <v/>
      </c>
      <c r="C110" s="9">
        <f>SUMIFS(tblOldiBerdi[Qator_balans],tblOldiBerdi[Kod],A110)</f>
        <v/>
      </c>
      <c r="D110" s="8">
        <f>IF(C110&gt;0,"Bizga qarz (+"&amp;TEXT(C110,"#,##0")&amp;")",IF(C110&lt;0,"Bizdan qarz ("&amp;TEXT(C110,"#,##0")&amp;")","Hisob yo'q"))</f>
        <v/>
      </c>
    </row>
    <row r="111">
      <c r="A111" s="4" t="inlineStr">
        <is>
          <t>SI</t>
        </is>
      </c>
      <c r="B111" s="8">
        <f>IFERROR(XLOOKUP(A111,tblOdamlar[Kod],tblOdamlar[Ism]),"?")</f>
        <v/>
      </c>
      <c r="C111" s="9">
        <f>SUMIFS(tblOldiBerdi[Qator_balans],tblOldiBerdi[Kod],A111)</f>
        <v/>
      </c>
      <c r="D111" s="8">
        <f>IF(C111&gt;0,"Bizga qarz (+"&amp;TEXT(C111,"#,##0")&amp;")",IF(C111&lt;0,"Bizdan qarz ("&amp;TEXT(C111,"#,##0")&amp;")","Hisob yo'q"))</f>
        <v/>
      </c>
    </row>
    <row r="112">
      <c r="A112" s="6" t="inlineStr">
        <is>
          <t>JAMI (sof saldo)</t>
        </is>
      </c>
      <c r="C112" s="9">
        <f>SUM(C109:C111)</f>
        <v/>
      </c>
    </row>
    <row r="113"/>
    <row r="114">
      <c r="A114" s="11" t="inlineStr">
        <is>
          <t>Odamlardan jami qarz (+)</t>
        </is>
      </c>
      <c r="C114" s="9">
        <f>SUMIF(C109:C111,"&gt;0")</f>
        <v/>
      </c>
    </row>
    <row r="115">
      <c r="A115" s="11" t="inlineStr">
        <is>
          <t>Odamlarga jami qarz (-)</t>
        </is>
      </c>
      <c r="C115" s="9">
        <f>-SUMIF(C109:C111,"&lt;0")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Hisobdagi jami pul</t>
        </is>
      </c>
    </row>
    <row r="2">
      <c r="A2" s="2" t="inlineStr">
        <is>
          <t>Kassa balansi va umumiy kirim-chiqim jamlanmasi (batafsil varag'lardan).</t>
        </is>
      </c>
    </row>
    <row r="3"/>
    <row r="4" ht="30" customHeight="1">
      <c r="A4" s="3" t="inlineStr">
        <is>
          <t>Ko'rsatkich</t>
        </is>
      </c>
      <c r="B4" s="3" t="inlineStr">
        <is>
          <t>Summa (so'm)</t>
        </is>
      </c>
      <c r="C4" s="3" t="inlineStr">
        <is>
          <t>Izoh</t>
        </is>
      </c>
    </row>
    <row r="5">
      <c r="A5" t="inlineStr">
        <is>
          <t>Boshlang'ich kassa qoldiq</t>
        </is>
      </c>
      <c r="B5" s="9">
        <f>StartCash</f>
        <v/>
      </c>
      <c r="C5" t="inlineStr">
        <is>
          <t>Parametrlardan</t>
        </is>
      </c>
    </row>
    <row r="6">
      <c r="A6" t="inlineStr">
        <is>
          <t>Jami kirdi (sotuv)</t>
        </is>
      </c>
      <c r="B6" s="9">
        <f>SUM(tblKunlikKassa[Kirdi])</f>
        <v/>
      </c>
      <c r="C6" t="inlineStr">
        <is>
          <t>Kunlik kassa</t>
        </is>
      </c>
    </row>
    <row r="7">
      <c r="A7" t="inlineStr">
        <is>
          <t>Jami xarajat</t>
        </is>
      </c>
      <c r="B7" s="9">
        <f>SUM(tblXarajatlar[Summa])</f>
        <v/>
      </c>
      <c r="C7" t="inlineStr">
        <is>
          <t>Xarajatlar varag'i</t>
        </is>
      </c>
    </row>
    <row r="8">
      <c r="A8" t="inlineStr">
        <is>
          <t>Jami tavarga pul</t>
        </is>
      </c>
      <c r="B8" s="9">
        <f>SUM(tblTovargaPul[Summa])</f>
        <v/>
      </c>
      <c r="C8" t="inlineStr">
        <is>
          <t>Tovarga pul varag'i</t>
        </is>
      </c>
    </row>
    <row r="9">
      <c r="A9" t="inlineStr">
        <is>
          <t>Jami boshqa chiqim</t>
        </is>
      </c>
      <c r="B9" s="9">
        <f>SUM(tblKunlikKassa[Boshqa_chiqim])</f>
        <v/>
      </c>
      <c r="C9" t="inlineStr">
        <is>
          <t>Kunlik kassa</t>
        </is>
      </c>
    </row>
    <row r="10">
      <c r="A10" t="inlineStr">
        <is>
          <t>Jami chiqim</t>
        </is>
      </c>
      <c r="B10" s="9">
        <f>B7+B8+B9</f>
        <v/>
      </c>
      <c r="C10" t="inlineStr">
        <is>
          <t>Xarajat + tovar + boshqa</t>
        </is>
      </c>
    </row>
    <row r="11">
      <c r="A11" t="inlineStr"/>
      <c r="B11" s="12" t="n"/>
      <c r="C11" t="inlineStr"/>
    </row>
    <row r="12">
      <c r="A12" s="13" t="inlineStr">
        <is>
          <t>Joriy kassa balans</t>
        </is>
      </c>
      <c r="B12" s="9">
        <f>B5+B6-B10</f>
        <v/>
      </c>
      <c r="C12" s="11" t="inlineStr">
        <is>
          <t>Boshlang'ich + kirdi - jami chiqim</t>
        </is>
      </c>
    </row>
    <row r="13">
      <c r="A13" t="inlineStr">
        <is>
          <t>Oxirgi kun kassa qoldiq</t>
        </is>
      </c>
      <c r="B13" s="9">
        <f>IFERROR(LOOKUP(2,1/(tblKunlikKassa[Kassa_qoldiq]&lt;&gt;""),tblKunlikKassa[Kassa_qoldiq]),StartCash)</f>
        <v/>
      </c>
      <c r="C13" t="inlineStr">
        <is>
          <t>Kunlik kassa oxirgi qator</t>
        </is>
      </c>
    </row>
    <row r="14">
      <c r="A14" t="inlineStr"/>
      <c r="B14" s="12" t="n"/>
      <c r="C14" t="inlineStr"/>
    </row>
    <row r="15">
      <c r="A15" t="inlineStr">
        <is>
          <t>Odamlardan qarz (bizga)</t>
        </is>
      </c>
      <c r="B15" s="9">
        <f>PeopleReceivable</f>
        <v/>
      </c>
      <c r="C15" t="inlineStr">
        <is>
          <t>Oldi-berdi varag'i</t>
        </is>
      </c>
    </row>
    <row r="16">
      <c r="A16" t="inlineStr">
        <is>
          <t>Odamlarga qarz (bizdan)</t>
        </is>
      </c>
      <c r="B16" s="9">
        <f>PeoplePayable</f>
        <v/>
      </c>
      <c r="C16" t="inlineStr">
        <is>
          <t>Oldi-berdi varag'i</t>
        </is>
      </c>
    </row>
    <row r="17">
      <c r="A17" s="13" t="inlineStr">
        <is>
          <t>Umumiy moliyaviy holat</t>
        </is>
      </c>
      <c r="B17" s="9">
        <f>B12+B15-B16</f>
        <v/>
      </c>
      <c r="C17" s="11" t="inlineStr">
        <is>
          <t>Kassa + bizga qarz - bizdan qarz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Oylik xulosa</t>
        </is>
      </c>
    </row>
    <row r="2">
      <c r="A2" s="2" t="inlineStr">
        <is>
          <t>Parametrlardagi oy va yil bo'yicha avtomatik hisob (SUMIFS).</t>
        </is>
      </c>
    </row>
    <row r="3"/>
    <row r="4">
      <c r="A4" s="6" t="inlineStr">
        <is>
          <t>Tanlangan davr</t>
        </is>
      </c>
      <c r="B4" s="14">
        <f>ReportMonth&amp;"/"&amp;ReportYear</f>
        <v/>
      </c>
    </row>
    <row r="5"/>
    <row r="6" ht="30" customHeight="1">
      <c r="A6" s="3" t="inlineStr">
        <is>
          <t>Ko'rsatkich</t>
        </is>
      </c>
      <c r="B6" s="3" t="inlineStr">
        <is>
          <t>Summa (so'm)</t>
        </is>
      </c>
    </row>
    <row r="7">
      <c r="A7" t="inlineStr">
        <is>
          <t>Jami kirdi</t>
        </is>
      </c>
      <c r="B7" s="9">
        <f>SUMIFS(tblKunlikKassa[Kirdi],tblKunlikKassa[Sana],"&gt;=DATE(ReportYear,ReportMonth,1)",tblKunlikKassa[Sana],"&lt;DATE(ReportYear,ReportMonth+1,1)")</f>
        <v/>
      </c>
    </row>
    <row r="8">
      <c r="A8" t="inlineStr">
        <is>
          <t>Jami xarajat</t>
        </is>
      </c>
      <c r="B8" s="9">
        <f>SUMIFS(tblXarajatlar[Summa],tblXarajatlar[Sana],"&gt;=DATE(ReportYear,ReportMonth,1)",tblXarajatlar[Sana],"&lt;DATE(ReportYear,ReportMonth+1,1)")</f>
        <v/>
      </c>
    </row>
    <row r="9">
      <c r="A9" t="inlineStr">
        <is>
          <t>Jami tavarga pul</t>
        </is>
      </c>
      <c r="B9" s="9">
        <f>SUMIFS(tblTovargaPul[Summa],tblTovargaPul[Sana],"&gt;=DATE(ReportYear,ReportMonth,1)",tblTovargaPul[Sana],"&lt;DATE(ReportYear,ReportMonth+1,1)")</f>
        <v/>
      </c>
    </row>
    <row r="10">
      <c r="A10" t="inlineStr">
        <is>
          <t>Jami boshqa chiqim</t>
        </is>
      </c>
      <c r="B10" s="9">
        <f>SUMIFS(tblKunlikKassa[Boshqa_chiqim],tblKunlikKassa[Sana],"&gt;=DATE(ReportYear,ReportMonth,1)",tblKunlikKassa[Sana],"&lt;DATE(ReportYear,ReportMonth+1,1)")</f>
        <v/>
      </c>
    </row>
    <row r="11">
      <c r="A11" t="inlineStr">
        <is>
          <t>Jami chiqim</t>
        </is>
      </c>
      <c r="B11" s="9">
        <f>B8+B9+B10</f>
        <v/>
      </c>
    </row>
    <row r="12">
      <c r="A12" s="13" t="inlineStr">
        <is>
          <t>Foyda (kirdi - chiqim)</t>
        </is>
      </c>
      <c r="B12" s="9">
        <f>B7-B11</f>
        <v/>
      </c>
    </row>
    <row r="13">
      <c r="A13" t="inlineStr"/>
    </row>
    <row r="14">
      <c r="A14" t="inlineStr">
        <is>
          <t>Oy oxiridagi kassa qoldiq</t>
        </is>
      </c>
      <c r="B14" s="9">
        <f>IFERROR(LOOKUP(2,1/(tblKunlikKassa[Kassa_qoldiq]&lt;&gt;""),tblKunlikKassa[Kassa_qoldiq]),StartCash)</f>
        <v/>
      </c>
    </row>
    <row r="15">
      <c r="A15" t="inlineStr">
        <is>
          <t>Odamlardan qarz (bizga)</t>
        </is>
      </c>
      <c r="B15" s="9">
        <f>PeopleReceivable</f>
        <v/>
      </c>
    </row>
    <row r="16">
      <c r="A16" t="inlineStr">
        <is>
          <t>Odamlarga qarz (bizdan)</t>
        </is>
      </c>
      <c r="B16" s="9">
        <f>PeoplePayable</f>
        <v/>
      </c>
    </row>
    <row r="17"/>
    <row r="18"/>
    <row r="19"/>
    <row r="20">
      <c r="A20" s="10" t="inlineStr">
        <is>
          <t>Xarajat turlari bo'yicha (oylik)</t>
        </is>
      </c>
    </row>
    <row r="21" ht="30" customHeight="1">
      <c r="A21" s="3" t="inlineStr">
        <is>
          <t>Kod</t>
        </is>
      </c>
      <c r="B21" s="3" t="inlineStr">
        <is>
          <t>Tur</t>
        </is>
      </c>
      <c r="C21" s="3" t="inlineStr">
        <is>
          <t>Summa</t>
        </is>
      </c>
    </row>
    <row r="22">
      <c r="A22" s="4" t="inlineStr">
        <is>
          <t>SV</t>
        </is>
      </c>
      <c r="B22" s="8">
        <f>IFERROR(XLOOKUP(A22,tblXarajatTurlari[Kod],tblXarajatTurlari[Nomi]),"?")</f>
        <v/>
      </c>
      <c r="C22" s="9">
        <f>SUMIFS(tblXarajatlar[Summa],tblXarajatlar[Kod],A22,tblXarajatlar[Sana],"&gt;=DATE(ReportYear,ReportMonth,1)",tblXarajatlar[Sana],"&lt;DATE(ReportYear,ReportMonth+1,1)")</f>
        <v/>
      </c>
    </row>
    <row r="23">
      <c r="A23" s="4" t="inlineStr">
        <is>
          <t>AB</t>
        </is>
      </c>
      <c r="B23" s="8">
        <f>IFERROR(XLOOKUP(A23,tblXarajatTurlari[Kod],tblXarajatTurlari[Nomi]),"?")</f>
        <v/>
      </c>
      <c r="C23" s="9">
        <f>SUMIFS(tblXarajatlar[Summa],tblXarajatlar[Kod],A23,tblXarajatlar[Sana],"&gt;=DATE(ReportYear,ReportMonth,1)",tblXarajatlar[Sana],"&lt;DATE(ReportYear,ReportMonth+1,1)")</f>
        <v/>
      </c>
    </row>
    <row r="24">
      <c r="A24" s="4" t="inlineStr">
        <is>
          <t>IJ</t>
        </is>
      </c>
      <c r="B24" s="8">
        <f>IFERROR(XLOOKUP(A24,tblXarajatTurlari[Kod],tblXarajatTurlari[Nomi]),"?")</f>
        <v/>
      </c>
      <c r="C24" s="9">
        <f>SUMIFS(tblXarajatlar[Summa],tblXarajatlar[Kod],A24,tblXarajatlar[Sana],"&gt;=DATE(ReportYear,ReportMonth,1)",tblXarajatlar[Sana],"&lt;DATE(ReportYear,ReportMonth+1,1)")</f>
        <v/>
      </c>
    </row>
    <row r="25">
      <c r="A25" s="4" t="inlineStr">
        <is>
          <t>MS</t>
        </is>
      </c>
      <c r="B25" s="8">
        <f>IFERROR(XLOOKUP(A25,tblXarajatTurlari[Kod],tblXarajatTurlari[Nomi]),"?")</f>
        <v/>
      </c>
      <c r="C25" s="9">
        <f>SUMIFS(tblXarajatlar[Summa],tblXarajatlar[Kod],A25,tblXarajatlar[Sana],"&gt;=DATE(ReportYear,ReportMonth,1)",tblXarajatlar[Sana],"&lt;DATE(ReportYear,ReportMonth+1,1)")</f>
        <v/>
      </c>
    </row>
    <row r="26">
      <c r="A26" s="4" t="inlineStr">
        <is>
          <t>TR</t>
        </is>
      </c>
      <c r="B26" s="8">
        <f>IFERROR(XLOOKUP(A26,tblXarajatTurlari[Kod],tblXarajatTurlari[Nomi]),"?")</f>
        <v/>
      </c>
      <c r="C26" s="9">
        <f>SUMIFS(tblXarajatlar[Summa],tblXarajatlar[Kod],A26,tblXarajatlar[Sana],"&gt;=DATE(ReportYear,ReportMonth,1)",tblXarajatlar[Sana],"&lt;DATE(ReportYear,ReportMonth+1,1)")</f>
        <v/>
      </c>
    </row>
    <row r="27">
      <c r="A27" s="4" t="inlineStr">
        <is>
          <t>BOSHQA</t>
        </is>
      </c>
      <c r="B27" s="8">
        <f>IFERROR(XLOOKUP(A27,tblXarajatTurlari[Kod],tblXarajatTurlari[Nomi]),"?")</f>
        <v/>
      </c>
      <c r="C27" s="9">
        <f>SUMIFS(tblXarajatlar[Summa],tblXarajatlar[Kod],A27,tblXarajatlar[Sana],"&gt;=DATE(ReportYear,ReportMonth,1)",tblXarajatlar[Sana],"&lt;DATE(ReportYear,ReportMonth+1,1)")</f>
        <v/>
      </c>
    </row>
    <row r="28"/>
    <row r="29"/>
    <row r="30">
      <c r="A30" s="10" t="inlineStr">
        <is>
          <t>Yetkazuvchilar bo'yicha (oylik)</t>
        </is>
      </c>
    </row>
    <row r="31" ht="30" customHeight="1">
      <c r="A31" s="3" t="inlineStr">
        <is>
          <t>Kod</t>
        </is>
      </c>
      <c r="B31" s="3" t="inlineStr">
        <is>
          <t>Yetkazuvchi</t>
        </is>
      </c>
      <c r="C31" s="3" t="inlineStr">
        <is>
          <t>Summa</t>
        </is>
      </c>
    </row>
    <row r="32">
      <c r="A32" s="4" t="inlineStr">
        <is>
          <t>JA</t>
        </is>
      </c>
      <c r="B32" s="8">
        <f>IFERROR(XLOOKUP(A32,tblYetkazuvchilar[Kod],tblYetkazuvchilar[Ism]),"?")</f>
        <v/>
      </c>
      <c r="C32" s="9">
        <f>SUMIFS(tblTovargaPul[Summa],tblTovargaPul[Kod],A32,tblTovargaPul[Sana],"&gt;=DATE(ReportYear,ReportMonth,1)",tblTovargaPul[Sana],"&lt;DATE(ReportYear,ReportMonth+1,1)")</f>
        <v/>
      </c>
    </row>
    <row r="33">
      <c r="A33" s="4" t="inlineStr">
        <is>
          <t>SH</t>
        </is>
      </c>
      <c r="B33" s="8">
        <f>IFERROR(XLOOKUP(A33,tblYetkazuvchilar[Kod],tblYetkazuvchilar[Ism]),"?")</f>
        <v/>
      </c>
      <c r="C33" s="9">
        <f>SUMIFS(tblTovargaPul[Summa],tblTovargaPul[Kod],A33,tblTovargaPul[Sana],"&gt;=DATE(ReportYear,ReportMonth,1)",tblTovargaPul[Sana],"&lt;DATE(ReportYear,ReportMonth+1,1)")</f>
        <v/>
      </c>
    </row>
    <row r="34">
      <c r="A34" s="4" t="inlineStr">
        <is>
          <t>BAZAR</t>
        </is>
      </c>
      <c r="B34" s="8">
        <f>IFERROR(XLOOKUP(A34,tblYetkazuvchilar[Kod],tblYetkazuvchilar[Ism]),"?")</f>
        <v/>
      </c>
      <c r="C34" s="9">
        <f>SUMIFS(tblTovargaPul[Summa],tblTovargaPul[Kod],A34,tblTovargaPul[Sana],"&gt;=DATE(ReportYear,ReportMonth,1)",tblTovargaPul[Sana],"&lt;DATE(ReportYear,ReportMonth+1,1)")</f>
        <v/>
      </c>
    </row>
    <row r="35">
      <c r="A35" s="4" t="inlineStr">
        <is>
          <t>OPT</t>
        </is>
      </c>
      <c r="B35" s="8">
        <f>IFERROR(XLOOKUP(A35,tblYetkazuvchilar[Kod],tblYetkazuvchilar[Ism]),"?")</f>
        <v/>
      </c>
      <c r="C35" s="9">
        <f>SUMIFS(tblTovargaPul[Summa],tblTovargaPul[Kod],A35,tblTovargaPul[Sana],"&gt;=DATE(ReportYear,ReportMonth,1)",tblTovargaPul[Sana],"&lt;DATE(ReportYear,ReportMonth+1,1)")</f>
        <v/>
      </c>
    </row>
    <row r="36"/>
    <row r="37"/>
    <row r="38">
      <c r="A38" s="6" t="inlineStr">
        <is>
          <t>Eslatma</t>
        </is>
      </c>
    </row>
    <row r="39">
      <c r="A39" s="15" t="inlineStr">
        <is>
          <t>Qisqa KOD yozing — to'liq ism avtomatik. Xarajatlar va Tovarga pul varag'larida faqat Kod + Summa kifoya. Foyda = kirdi − barcha chiqimlar.</t>
        </is>
      </c>
    </row>
  </sheetData>
  <mergeCells count="1"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2026-08-23T17:17:37Z</dcterms:created>
  <dcterms:modified xmlns:dcterms="http://purl.org/dc/terms/" xmlns:xsi="http://www.w3.org/2001/XMLSchema-instance" xsi:type="dcterms:W3CDTF">2026-08-23T17:17:37Z</dcterms:modified>
</cp:coreProperties>
</file>