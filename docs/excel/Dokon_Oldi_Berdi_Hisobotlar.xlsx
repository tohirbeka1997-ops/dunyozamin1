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5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arametrlar" sheetId="2" state="visible" r:id="rId2"/>
    <sheet xmlns:r="http://schemas.openxmlformats.org/officeDocument/2006/relationships" name="01_Mahsulotlar" sheetId="3" state="visible" r:id="rId3"/>
    <sheet xmlns:r="http://schemas.openxmlformats.org/officeDocument/2006/relationships" name="02_Harakatlar" sheetId="4" state="visible" r:id="rId4"/>
    <sheet xmlns:r="http://schemas.openxmlformats.org/officeDocument/2006/relationships" name="03_Sotuvlar" sheetId="5" state="visible" r:id="rId5"/>
    <sheet xmlns:r="http://schemas.openxmlformats.org/officeDocument/2006/relationships" name="04_Xaridlar" sheetId="6" state="visible" r:id="rId6"/>
    <sheet xmlns:r="http://schemas.openxmlformats.org/officeDocument/2006/relationships" name="05_Qaytarishlar" sheetId="7" state="visible" r:id="rId7"/>
    <sheet xmlns:r="http://schemas.openxmlformats.org/officeDocument/2006/relationships" name="06_Tolovlar" sheetId="8" state="visible" r:id="rId8"/>
    <sheet xmlns:r="http://schemas.openxmlformats.org/officeDocument/2006/relationships" name="07_Mijoz_Qarz" sheetId="9" state="visible" r:id="rId9"/>
    <sheet xmlns:r="http://schemas.openxmlformats.org/officeDocument/2006/relationships" name="08_Yetkazuvchi" sheetId="10" state="visible" r:id="rId10"/>
    <sheet xmlns:r="http://schemas.openxmlformats.org/officeDocument/2006/relationships" name="09_Xarajatlar" sheetId="11" state="visible" r:id="rId11"/>
    <sheet xmlns:r="http://schemas.openxmlformats.org/officeDocument/2006/relationships" name="Ombor_Qoldiq" sheetId="12" state="visible" r:id="rId12"/>
    <sheet xmlns:r="http://schemas.openxmlformats.org/officeDocument/2006/relationships" name="Sotuv_Hisobot" sheetId="13" state="visible" r:id="rId13"/>
    <sheet xmlns:r="http://schemas.openxmlformats.org/officeDocument/2006/relationships" name="Kassa" sheetId="14" state="visible" r:id="rId14"/>
    <sheet xmlns:r="http://schemas.openxmlformats.org/officeDocument/2006/relationships" name="Aging_AR_AP" sheetId="15" state="visible" r:id="rId15"/>
    <sheet xmlns:r="http://schemas.openxmlformats.org/officeDocument/2006/relationships" name="Dashboard" sheetId="16" state="visible" r:id="rId16"/>
  </sheets>
  <definedNames>
    <definedName name="PeriodStart">Parametrlar!$B$5</definedName>
    <definedName name="PeriodEnd">Parametrlar!$B$6</definedName>
    <definedName name="AsOfDate">Parametrlar!$B$8</definedName>
    <definedName name="DefaultFX">Parametrlar!$B$7</definedName>
    <definedName name="StoreName">Parametrlar!$B$4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color rgb="00566573"/>
      <sz val="11"/>
    </font>
    <font/>
    <font>
      <b val="1"/>
    </font>
    <font>
      <name val="Calibri"/>
      <b val="1"/>
      <color rgb="00FFFFFF"/>
      <sz val="11"/>
    </font>
    <font>
      <i val="1"/>
      <color rgb="00922B2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2" fontId="0" fillId="3" borderId="1" pivotButton="0" quotePrefix="0" xfId="0"/>
    <xf numFmtId="3" fontId="0" fillId="4" borderId="1" pivotButton="0" quotePrefix="0" xfId="0"/>
    <xf numFmtId="0" fontId="0" fillId="4" borderId="1" pivotButton="0" quotePrefix="0" xfId="0"/>
    <xf numFmtId="2" fontId="0" fillId="4" borderId="1" pivotButton="0" quotePrefix="0" xfId="0"/>
    <xf numFmtId="3" fontId="0" fillId="4" borderId="0" pivotButton="0" quotePrefix="0" xfId="0"/>
    <xf numFmtId="166" fontId="0" fillId="4" borderId="1" pivotButton="0" quotePrefix="0" xfId="0"/>
    <xf numFmtId="166" fontId="0" fillId="3" borderId="1" pivotButton="0" quotePrefix="0" xfId="0"/>
    <xf numFmtId="0" fontId="6" fillId="0" borderId="0" pivotButton="0" quotePrefix="0" xfId="0"/>
    <xf numFmtId="0" fontId="7" fillId="5" borderId="0" pivotButton="0" quotePrefix="0" xfId="0"/>
    <xf numFmtId="0" fontId="0" fillId="2" borderId="1" pivotButton="0" quotePrefix="0" xfId="0"/>
    <xf numFmtId="0" fontId="4" fillId="2" borderId="1" pivotButton="0" quotePrefix="0" xfId="0"/>
    <xf numFmtId="3" fontId="4" fillId="4" borderId="1" pivotButton="0" quotePrefix="0" xfId="0"/>
    <xf numFmtId="0" fontId="5" fillId="5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4" fillId="0" borderId="0" pivotButton="0" quotePrefix="0" xfId="0"/>
    <xf numFmtId="3" fontId="8" fillId="4" borderId="1" pivotButton="0" quotePrefix="0" xfId="0"/>
    <xf numFmtId="1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To'lov usullari</a:t>
            </a:r>
          </a:p>
        </rich>
      </tx>
    </title>
    <plotArea>
      <pieChart>
        <varyColors val="1"/>
        <ser>
          <idx val="0"/>
          <order val="0"/>
          <tx>
            <strRef>
              <f>'Kassa'!C5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'Kassa'!$A$6:$A$13</f>
            </numRef>
          </cat>
          <val>
            <numRef>
              <f>'Kassa'!$C$6:$C$13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 Aging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'Aging_AR_AP'!C5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'Aging_AR_AP'!$B$6:$B$9</f>
            </numRef>
          </cat>
          <val>
            <numRef>
              <f>'Aging_AR_AP'!$C$6:$C$9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Mahsulot bo'yicha net sotuv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'Dashboard'!$A$16:$A$20</f>
            </numRef>
          </cat>
          <val>
            <numRef>
              <f>'Dashboard'!$C$16:$C$20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ducts" displayName="tblProducts" ref="A4:J24" headerRowCount="1">
  <autoFilter ref="A4:J24"/>
  <tableColumns count="10">
    <tableColumn id="1" name="Kod"/>
    <tableColumn id="2" name="Nomi"/>
    <tableColumn id="3" name="Kategoriya"/>
    <tableColumn id="4" name="Birlik"/>
    <tableColumn id="5" name="Boshlangich_qty"/>
    <tableColumn id="6" name="Boshlangich_tannarx"/>
    <tableColumn id="7" name="Boshlangich_qiymat"/>
    <tableColumn id="8" name="Sotuv_narxi"/>
    <tableColumn id="9" name="Minimal_qoldiq"/>
    <tableColumn id="10" name="Fa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Movements" displayName="tblMovements" ref="A4:M54" headerRowCount="1">
  <autoFilter ref="A4:M54"/>
  <tableColumns count="13">
    <tableColumn id="1" name="Sana"/>
    <tableColumn id="2" name="Hujjat_N"/>
    <tableColumn id="3" name="Mahsulot_kod"/>
    <tableColumn id="4" name="Mahsulot_nomi"/>
    <tableColumn id="5" name="Turi"/>
    <tableColumn id="6" name="Miqdor_in"/>
    <tableColumn id="7" name="Miqdor_out"/>
    <tableColumn id="8" name="Birlik_tannarx"/>
    <tableColumn id="9" name="Birlik_sotuv"/>
    <tableColumn id="10" name="Summa_UZS"/>
    <tableColumn id="11" name="Qoldiq_qty"/>
    <tableColumn id="12" name="Harakat_qiymati"/>
    <tableColumn id="13" name="Izoh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Sales" displayName="tblSales" ref="A4:Q44" headerRowCount="1">
  <autoFilter ref="A4:Q44"/>
  <tableColumns count="17">
    <tableColumn id="1" name="Sana"/>
    <tableColumn id="2" name="Chek_N"/>
    <tableColumn id="3" name="Mahsulot_kod"/>
    <tableColumn id="4" name="Mahsulot_nomi"/>
    <tableColumn id="5" name="Miqdor"/>
    <tableColumn id="6" name="Birlik_narx"/>
    <tableColumn id="7" name="Chegirma"/>
    <tableColumn id="8" name="Brutto"/>
    <tableColumn id="9" name="Net_tushum"/>
    <tableColumn id="10" name="Birlik_tannarx"/>
    <tableColumn id="11" name="COGS"/>
    <tableColumn id="12" name="Gross_foyda"/>
    <tableColumn id="13" name="Margin_%"/>
    <tableColumn id="14" name="Valyuta"/>
    <tableColumn id="15" name="FX_rate"/>
    <tableColumn id="16" name="UZS_eq"/>
    <tableColumn id="17" name="Kanal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Purchases" displayName="tblPurchases" ref="A4:K39" headerRowCount="1">
  <autoFilter ref="A4:K39"/>
  <tableColumns count="11">
    <tableColumn id="1" name="Sana"/>
    <tableColumn id="2" name="Xarid_N"/>
    <tableColumn id="3" name="Yetkazuvchi"/>
    <tableColumn id="4" name="Mahsulot_kod"/>
    <tableColumn id="5" name="Mahsulot_nomi"/>
    <tableColumn id="6" name="Miqdor"/>
    <tableColumn id="7" name="Birlik_tannarx"/>
    <tableColumn id="8" name="Summa_UZS"/>
    <tableColumn id="9" name="Tolangan"/>
    <tableColumn id="10" name="Qarz"/>
    <tableColumn id="11" name="Izoh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Returns" displayName="tblReturns" ref="A4:K24" headerRowCount="1">
  <autoFilter ref="A4:K24"/>
  <tableColumns count="11">
    <tableColumn id="1" name="Sana"/>
    <tableColumn id="2" name="Qaytarish_N"/>
    <tableColumn id="3" name="Asl_chek"/>
    <tableColumn id="4" name="Mahsulot_kod"/>
    <tableColumn id="5" name="Mahsulot_nomi"/>
    <tableColumn id="6" name="Miqdor"/>
    <tableColumn id="7" name="Qaytarilgan_summa"/>
    <tableColumn id="8" name="Birlik_tannarx"/>
    <tableColumn id="9" name="Returns_COGS"/>
    <tableColumn id="10" name="Foyda_ta'siri"/>
    <tableColumn id="11" name="Izoh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Payments" displayName="tblPayments" ref="A4:K49" headerRowCount="1">
  <autoFilter ref="A4:K49"/>
  <tableColumns count="11">
    <tableColumn id="1" name="Sana"/>
    <tableColumn id="2" name="Chek_N"/>
    <tableColumn id="3" name="Usul"/>
    <tableColumn id="4" name="Guruh"/>
    <tableColumn id="5" name="Summa_UZS"/>
    <tableColumn id="6" name="Komissiya_%"/>
    <tableColumn id="7" name="Komissiya_fixed"/>
    <tableColumn id="8" name="Komissiya"/>
    <tableColumn id="9" name="Sof_kassa"/>
    <tableColumn id="10" name="Mijoz"/>
    <tableColumn id="11" name="Izoh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AR" displayName="tblAR" ref="A4:J34" headerRowCount="1">
  <autoFilter ref="A4:J34"/>
  <tableColumns count="10">
    <tableColumn id="1" name="Mijoz"/>
    <tableColumn id="2" name="Hujjat_N"/>
    <tableColumn id="3" name="Hujjat_sana"/>
    <tableColumn id="4" name="Muddat"/>
    <tableColumn id="5" name="Jami_qarz"/>
    <tableColumn id="6" name="Tolangan"/>
    <tableColumn id="7" name="Qoldiq"/>
    <tableColumn id="8" name="Yosh_kun"/>
    <tableColumn id="9" name="Bucket"/>
    <tableColumn id="10" name="Telefon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AP" displayName="tblAP" ref="A4:I29" headerRowCount="1">
  <autoFilter ref="A4:I29"/>
  <tableColumns count="9">
    <tableColumn id="1" name="Yetkazuvchi"/>
    <tableColumn id="2" name="Hujjat_N"/>
    <tableColumn id="3" name="Hujjat_sana"/>
    <tableColumn id="4" name="Muddat"/>
    <tableColumn id="5" name="Jami"/>
    <tableColumn id="6" name="Tolangan"/>
    <tableColumn id="7" name="Qoldiq"/>
    <tableColumn id="8" name="Yosh_kun"/>
    <tableColumn id="9" name="Bucket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Expenses" displayName="tblExpenses" ref="A4:E34" headerRowCount="1">
  <autoFilter ref="A4:E34"/>
  <tableColumns count="5">
    <tableColumn id="1" name="Sana"/>
    <tableColumn id="2" name="Kategoriya"/>
    <tableColumn id="3" name="Tavsif"/>
    <tableColumn id="4" name="Summa_UZS"/>
    <tableColumn id="5" name="To'lov_usuli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Inventory" displayName="tblInventory" ref="A4:L24" headerRowCount="1">
  <autoFilter ref="A4:L24"/>
  <tableColumns count="12">
    <tableColumn id="1" name="Kod"/>
    <tableColumn id="2" name="Nomi"/>
    <tableColumn id="3" name="Ochilish_qty"/>
    <tableColumn id="4" name="Kirim_qty"/>
    <tableColumn id="5" name="Chiqim_qty"/>
    <tableColumn id="6" name="Qaytarish_qty"/>
    <tableColumn id="7" name="Yopilish_qty"/>
    <tableColumn id="8" name="O_rtacha_tannarx"/>
    <tableColumn id="9" name="Yopilish_qiymat"/>
    <tableColumn id="10" name="Sotuv_narxi"/>
    <tableColumn id="11" name="Potensial_tushum"/>
    <tableColumn id="12" name="Statu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SalesDaily" displayName="tblSalesDaily" ref="A4:J27" headerRowCount="1">
  <autoFilter ref="A4:J27"/>
  <tableColumns count="10">
    <tableColumn id="1" name="Sana"/>
    <tableColumn id="2" name="Brutto"/>
    <tableColumn id="3" name="Chegirma"/>
    <tableColumn id="4" name="Net_tushum_UZS"/>
    <tableColumn id="5" name="COGS"/>
    <tableColumn id="6" name="Gross_foyda"/>
    <tableColumn id="7" name="Margin_%"/>
    <tableColumn id="8" name="Qaytarish_tushum"/>
    <tableColumn id="9" name="Qaytarish_COGS"/>
    <tableColumn id="10" name="Sof_foyda_kun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KassaMethods" displayName="tblKassaMethods" ref="A5:F13" headerRowCount="1">
  <autoFilter ref="A5:F13"/>
  <tableColumns count="6">
    <tableColumn id="1" name="Usul"/>
    <tableColumn id="2" name="Guruh"/>
    <tableColumn id="3" name="Summa"/>
    <tableColumn id="4" name="Komissiya"/>
    <tableColumn id="5" name="Sof"/>
    <tableColumn id="6" name="Ulush_%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Do'kon Oldi-Berdi va Hisobotlar - Excel formulalar to'plami</t>
        </is>
      </c>
    </row>
    <row r="2">
      <c r="A2" s="2" t="inlineStr">
        <is>
          <t>POS loyihasi (unified sales, COGS, gross/net profit, aging, to'lov usullari) bilan moslashtirilgan.</t>
        </is>
      </c>
    </row>
    <row r="4">
      <c r="A4" s="3" t="inlineStr"/>
      <c r="B4" t="inlineStr"/>
    </row>
    <row r="5">
      <c r="A5" s="4" t="inlineStr">
        <is>
          <t>VALYUTA / ASSUMPTIONS</t>
        </is>
      </c>
      <c r="B5" s="5" t="inlineStr"/>
    </row>
    <row r="6">
      <c r="A6" s="3" t="inlineStr">
        <is>
          <t>Asosiy valyuta</t>
        </is>
      </c>
      <c r="B6" t="inlineStr">
        <is>
          <t>UZS (so'm). USD qatorlarida: UZS = miqdor × fx_rate (1 USD = N UZS).</t>
        </is>
      </c>
    </row>
    <row r="7">
      <c r="A7" s="3" t="inlineStr">
        <is>
          <t>COGS (tannarx)</t>
        </is>
      </c>
      <c r="B7" t="inlineStr">
        <is>
          <t>Sotuvda muzlatilgan unit_cost; bo'sh bo'lsa mahsulot o'rtacha tannarxi (avg cost).</t>
        </is>
      </c>
    </row>
    <row r="8">
      <c r="A8" s="3" t="inlineStr">
        <is>
          <t>Yalpi foyda</t>
        </is>
      </c>
      <c r="B8" t="inlineStr">
        <is>
          <t>Gross Profit = Sotuv tushumi - COGS</t>
        </is>
      </c>
    </row>
    <row r="9">
      <c r="A9" s="3" t="inlineStr">
        <is>
          <t>Sof foyda</t>
        </is>
      </c>
      <c r="B9" t="inlineStr">
        <is>
          <t>Net Profit = Gross - Qaytarish tushumi + Qaytarish COGS - Xarajatlar - Komissiya</t>
        </is>
      </c>
    </row>
    <row r="10">
      <c r="A10" s="3" t="inlineStr">
        <is>
          <t>Aging bucketlar</t>
        </is>
      </c>
      <c r="B10" t="inlineStr">
        <is>
          <t>0-7, 8-30, 31-60, 61+ kun (POS agingCalc bilan bir xil)</t>
        </is>
      </c>
    </row>
    <row r="11">
      <c r="A11" s="3" t="inlineStr">
        <is>
          <t>Ombor tannarxi</t>
        </is>
      </c>
      <c r="B11" t="inlineStr">
        <is>
          <t>Moving average (o'rtacha): yangi xarid = (eski qiymat + kirim qiymati) / yangi qoldiq</t>
        </is>
      </c>
    </row>
    <row r="12">
      <c r="A12" s="6" t="inlineStr">
        <is>
          <t>FIFO</t>
        </is>
      </c>
      <c r="B12" t="inlineStr">
        <is>
          <t>To'liq FIFO qatlamlari alohida hisob; bu kitobda o'rtacha tannarx (amaliy Excel).</t>
        </is>
      </c>
    </row>
    <row r="13">
      <c r="A13" s="3" t="inlineStr"/>
      <c r="B13" t="inlineStr"/>
    </row>
    <row r="14">
      <c r="A14" s="4" t="inlineStr">
        <is>
          <t>RANGLAR</t>
        </is>
      </c>
      <c r="B14" s="5" t="inlineStr"/>
    </row>
    <row r="15">
      <c r="A15" s="3" t="inlineStr">
        <is>
          <t>Sariq kataklar</t>
        </is>
      </c>
      <c r="B15" t="inlineStr">
        <is>
          <t>Siz kiritasiz (raw data)</t>
        </is>
      </c>
    </row>
    <row r="16">
      <c r="A16" s="3" t="inlineStr">
        <is>
          <t>Yashil kataklar</t>
        </is>
      </c>
      <c r="B16" t="inlineStr">
        <is>
          <t>Formula - qo'lda o'zgartirmang</t>
        </is>
      </c>
    </row>
    <row r="17">
      <c r="A17" s="3" t="inlineStr"/>
      <c r="B17" t="inlineStr"/>
    </row>
    <row r="18">
      <c r="A18" s="4" t="inlineStr">
        <is>
          <t>QANDAY ISHLATISH</t>
        </is>
      </c>
      <c r="B18" s="5" t="inlineStr"/>
    </row>
    <row r="19">
      <c r="A19" s="3" t="inlineStr">
        <is>
          <t>1</t>
        </is>
      </c>
      <c r="B19" t="inlineStr">
        <is>
          <t>01_Mahsulotlar - mahsulot kodlari, nomlari, boshlang'ich qoldiq/tannarx</t>
        </is>
      </c>
    </row>
    <row r="20">
      <c r="A20" s="3" t="inlineStr">
        <is>
          <t>2</t>
        </is>
      </c>
      <c r="B20" t="inlineStr">
        <is>
          <t>02_Harakatlar - kunlik oldi-berdi (kirim/chiqim) yoki 03/04 alohida sotuv/xarid</t>
        </is>
      </c>
    </row>
    <row r="21">
      <c r="A21" s="3" t="inlineStr">
        <is>
          <t>3</t>
        </is>
      </c>
      <c r="B21" t="inlineStr">
        <is>
          <t>03_Sotuvlar, 04_Xaridlar, 05_Qaytarishlar, 06_Tolovlar - tranzaksiya jurnaliga yozing</t>
        </is>
      </c>
    </row>
    <row r="22">
      <c r="A22" s="3" t="inlineStr">
        <is>
          <t>4</t>
        </is>
      </c>
      <c r="B22" t="inlineStr">
        <is>
          <t>07_Mijoz_Qarz, 08_Yetkazuvchi - ochiq qarzlar (AR/AP)</t>
        </is>
      </c>
    </row>
    <row r="23">
      <c r="A23" s="3" t="inlineStr">
        <is>
          <t>5</t>
        </is>
      </c>
      <c r="B23" t="inlineStr">
        <is>
          <t>09_Xarajatlar - kunlik/oylik do'kon xarajatlari</t>
        </is>
      </c>
    </row>
    <row r="24">
      <c r="A24" s="3" t="inlineStr">
        <is>
          <t>6</t>
        </is>
      </c>
      <c r="B24" t="inlineStr">
        <is>
          <t>Hisobot varaqlaridagi formulalar avtomatik hisoblaydi (Dashboard, Ombor, Kassa, Aging)</t>
        </is>
      </c>
    </row>
    <row r="25">
      <c r="A25" s="3" t="inlineStr">
        <is>
          <t>7</t>
        </is>
      </c>
      <c r="B25" t="inlineStr">
        <is>
          <t>Parametrlar!B2:B3 - hisobot davri (From/To). Dashboard shu oralig'ga bog'langan.</t>
        </is>
      </c>
    </row>
    <row r="26">
      <c r="A26" s="3" t="inlineStr"/>
      <c r="B26" t="inlineStr"/>
    </row>
    <row r="27">
      <c r="A27" s="4" t="inlineStr">
        <is>
          <t>VARAQLAR</t>
        </is>
      </c>
      <c r="B27" s="5" t="inlineStr"/>
    </row>
    <row r="28">
      <c r="A28" s="3" t="inlineStr">
        <is>
          <t>00_README</t>
        </is>
      </c>
      <c r="B28" t="inlineStr">
        <is>
          <t>Yo'riqnoma va taxminlar</t>
        </is>
      </c>
    </row>
    <row r="29">
      <c r="A29" s="3" t="inlineStr">
        <is>
          <t>Parametrlar</t>
        </is>
      </c>
      <c r="B29" t="inlineStr">
        <is>
          <t>Davr, FX default, do'kon nomi</t>
        </is>
      </c>
    </row>
    <row r="30">
      <c r="A30" s="3" t="inlineStr">
        <is>
          <t>01_Mahsulotlar</t>
        </is>
      </c>
      <c r="B30" t="inlineStr">
        <is>
          <t>Mahsulotlar katalogi + boshlang'ich ombor</t>
        </is>
      </c>
    </row>
    <row r="31">
      <c r="A31" s="3" t="inlineStr">
        <is>
          <t>02_Harakatlar</t>
        </is>
      </c>
      <c r="B31" t="inlineStr">
        <is>
          <t>Kunlik oldi-berdi ledger (kirim/chiqim)</t>
        </is>
      </c>
    </row>
    <row r="32">
      <c r="A32" s="3" t="inlineStr">
        <is>
          <t>03_Sotuvlar</t>
        </is>
      </c>
      <c r="B32" t="inlineStr">
        <is>
          <t>Sotuv qatorlari (tushum, chegirma, COGS, foyda)</t>
        </is>
      </c>
    </row>
    <row r="33">
      <c r="A33" s="3" t="inlineStr">
        <is>
          <t>04_Xaridlar</t>
        </is>
      </c>
      <c r="B33" t="inlineStr">
        <is>
          <t>Kirim / xarid</t>
        </is>
      </c>
    </row>
    <row r="34">
      <c r="A34" s="3" t="inlineStr">
        <is>
          <t>05_Qaytarishlar</t>
        </is>
      </c>
      <c r="B34" t="inlineStr">
        <is>
          <t>Mijoz qaytarishi</t>
        </is>
      </c>
    </row>
    <row r="35">
      <c r="A35" s="3" t="inlineStr">
        <is>
          <t>06_Tolovlar</t>
        </is>
      </c>
      <c r="B35" t="inlineStr">
        <is>
          <t>Naqd / karta / kredit / Payme / Click ...</t>
        </is>
      </c>
    </row>
    <row r="36">
      <c r="A36" s="3" t="inlineStr">
        <is>
          <t>07_Mijoz_Qarz</t>
        </is>
      </c>
      <c r="B36" t="inlineStr">
        <is>
          <t>Debitorlar (AR) + aging</t>
        </is>
      </c>
    </row>
    <row r="37">
      <c r="A37" s="3" t="inlineStr">
        <is>
          <t>08_Yetkazuvchi</t>
        </is>
      </c>
      <c r="B37" t="inlineStr">
        <is>
          <t>Kreditorlar (AP) + aging</t>
        </is>
      </c>
    </row>
    <row r="38">
      <c r="A38" s="3" t="inlineStr">
        <is>
          <t>09_Xarajatlar</t>
        </is>
      </c>
      <c r="B38" t="inlineStr">
        <is>
          <t>Operatsion xarajatlar</t>
        </is>
      </c>
    </row>
    <row r="39">
      <c r="A39" s="3" t="inlineStr">
        <is>
          <t>Ombor_Qoldiq</t>
        </is>
      </c>
      <c r="B39" t="inlineStr">
        <is>
          <t>Mahsulot bo'yicha ochilish/kirim/chiqim/yopilish + qiymat</t>
        </is>
      </c>
    </row>
    <row r="40">
      <c r="A40" s="3" t="inlineStr">
        <is>
          <t>Namuna:</t>
        </is>
      </c>
      <c r="B40" s="7" t="inlineStr">
        <is>
          <t>Kirish maydoni</t>
        </is>
      </c>
      <c r="C40" s="8" t="inlineStr">
        <is>
          <t>Formula maydoni</t>
        </is>
      </c>
    </row>
    <row r="41">
      <c r="A41" s="3" t="inlineStr">
        <is>
          <t>Kassa</t>
        </is>
      </c>
      <c r="B41" t="inlineStr">
        <is>
          <t>Kunlik kassa: naqd/karta/kredit</t>
        </is>
      </c>
    </row>
    <row r="42">
      <c r="A42" s="3" t="inlineStr">
        <is>
          <t>Aging_AR_AP</t>
        </is>
      </c>
      <c r="B42" t="inlineStr">
        <is>
          <t>Qarzlar yoshi bo'yicha jamlanma</t>
        </is>
      </c>
    </row>
    <row r="43">
      <c r="A43" s="3" t="inlineStr">
        <is>
          <t>Dashboard</t>
        </is>
      </c>
      <c r="B43" t="inlineStr">
        <is>
          <t>Bosh panel - formulalar bilan KPI</t>
        </is>
      </c>
    </row>
    <row r="44">
      <c r="A44" s="3" t="inlineStr"/>
      <c r="B44" t="inlineStr"/>
    </row>
    <row r="45">
      <c r="A45" s="4" t="inlineStr">
        <is>
          <t>POS LOYIHA MOSLIGI</t>
        </is>
      </c>
      <c r="B45" s="5" t="inlineStr"/>
    </row>
    <row r="46">
      <c r="A46" s="3" t="inlineStr">
        <is>
          <t>Payment methods</t>
        </is>
      </c>
      <c r="B46" t="inlineStr">
        <is>
          <t>cash, card, transfer, uzcard, humo, click, payme, credit</t>
        </is>
      </c>
    </row>
    <row r="47">
      <c r="A47" s="3" t="inlineStr">
        <is>
          <t>Credit</t>
        </is>
      </c>
      <c r="B47" t="inlineStr">
        <is>
          <t>credit_amount ≈ total - paid (qisman to'lov mumkin)</t>
        </is>
      </c>
    </row>
    <row r="48">
      <c r="A48" s="3" t="inlineStr">
        <is>
          <t>Returns impact</t>
        </is>
      </c>
      <c r="B48" t="inlineStr">
        <is>
          <t>Qaytarish tushumni kamaytiradi, COGS qaytaradi (net profit formulasi)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5" customWidth="1" min="3" max="3"/>
  </cols>
  <sheetData>
    <row r="1">
      <c r="A1" s="1" t="inlineStr">
        <is>
          <t>Hisobot parametrlari</t>
        </is>
      </c>
    </row>
    <row r="3" ht="32" customHeight="1">
      <c r="A3" s="9" t="inlineStr">
        <is>
          <t>Parametr</t>
        </is>
      </c>
      <c r="B3" s="9" t="inlineStr">
        <is>
          <t>Qiymat</t>
        </is>
      </c>
      <c r="C3" s="9" t="inlineStr">
        <is>
          <t>Izoh</t>
        </is>
      </c>
    </row>
    <row r="4">
      <c r="A4" t="inlineStr">
        <is>
          <t>Do'kon nomi</t>
        </is>
      </c>
      <c r="B4" s="10" t="inlineStr">
        <is>
          <t>Namuna Do'kon</t>
        </is>
      </c>
      <c r="C4" t="inlineStr">
        <is>
          <t>Dashboard sarlavhasi</t>
        </is>
      </c>
    </row>
    <row r="5">
      <c r="A5" t="inlineStr">
        <is>
          <t>Davr boshi</t>
        </is>
      </c>
      <c r="B5" s="11" t="n">
        <v>46235</v>
      </c>
      <c r="C5" t="inlineStr">
        <is>
          <t>YYYY-MM-DD - Dashboard/SUMIFS filtri</t>
        </is>
      </c>
    </row>
    <row r="6">
      <c r="A6" t="inlineStr">
        <is>
          <t>Davr oxiri</t>
        </is>
      </c>
      <c r="B6" s="11" t="n">
        <v>46257</v>
      </c>
      <c r="C6" t="inlineStr">
        <is>
          <t>YYYY-MM-DD</t>
        </is>
      </c>
    </row>
    <row r="7">
      <c r="A7" t="inlineStr">
        <is>
          <t>Default FX (UZS/USD)</t>
        </is>
      </c>
      <c r="B7" s="12" t="n">
        <v>12500</v>
      </c>
      <c r="C7" t="inlineStr">
        <is>
          <t>USD qatorlarida bo'sh fx bo'lsa</t>
        </is>
      </c>
    </row>
    <row r="8">
      <c r="A8" t="inlineStr">
        <is>
          <t>Bugungi sana</t>
        </is>
      </c>
      <c r="B8" s="11" t="n">
        <v>46257</v>
      </c>
      <c r="C8" t="inlineStr">
        <is>
          <t>Aging hisobi uchun</t>
        </is>
      </c>
    </row>
    <row r="9">
      <c r="A9" t="inlineStr">
        <is>
          <t>Valyuta</t>
        </is>
      </c>
      <c r="B9" s="10" t="inlineStr">
        <is>
          <t>UZS</t>
        </is>
      </c>
      <c r="C9" t="inlineStr">
        <is>
          <t>Asosiy hisobot valyutasi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7" customWidth="1" min="5" max="5"/>
    <col width="21" customWidth="1" min="6" max="6"/>
    <col width="30" customWidth="1" min="7" max="7"/>
    <col width="13" customWidth="1" min="8" max="8"/>
    <col width="16" customWidth="1" min="9" max="9"/>
    <col width="10" customWidth="1" min="10" max="10"/>
  </cols>
  <sheetData>
    <row r="1">
      <c r="A1" s="1" t="inlineStr">
        <is>
          <t>Mahsulotlar katalogi (Products master)</t>
        </is>
      </c>
    </row>
    <row r="2">
      <c r="A2" s="2" t="inlineStr">
        <is>
          <t>Sariq = kiriting. Yashil = formula. Kod unique bo'lsin.</t>
        </is>
      </c>
    </row>
    <row r="3"/>
    <row r="4" ht="32" customHeight="1">
      <c r="A4" s="9" t="inlineStr">
        <is>
          <t>Kod</t>
        </is>
      </c>
      <c r="B4" s="9" t="inlineStr">
        <is>
          <t>Nomi</t>
        </is>
      </c>
      <c r="C4" s="9" t="inlineStr">
        <is>
          <t>Kategoriya</t>
        </is>
      </c>
      <c r="D4" s="9" t="inlineStr">
        <is>
          <t>Birlik</t>
        </is>
      </c>
      <c r="E4" s="9" t="inlineStr">
        <is>
          <t>Boshlangich_qty</t>
        </is>
      </c>
      <c r="F4" s="9" t="inlineStr">
        <is>
          <t>Boshlangich_tannarx</t>
        </is>
      </c>
      <c r="G4" s="9" t="inlineStr">
        <is>
          <t>Boshlangich_qiymat</t>
        </is>
      </c>
      <c r="H4" s="9" t="inlineStr">
        <is>
          <t>Sotuv_narxi</t>
        </is>
      </c>
      <c r="I4" s="9" t="inlineStr">
        <is>
          <t>Minimal_qoldiq</t>
        </is>
      </c>
      <c r="J4" s="9" t="inlineStr">
        <is>
          <t>Faol</t>
        </is>
      </c>
    </row>
    <row r="5">
      <c r="A5" s="10" t="inlineStr">
        <is>
          <t>PRD-001</t>
        </is>
      </c>
      <c r="B5" s="10" t="inlineStr">
        <is>
          <t>Un 1kg</t>
        </is>
      </c>
      <c r="C5" s="10" t="inlineStr">
        <is>
          <t>Oziq-ovqat</t>
        </is>
      </c>
      <c r="D5" s="10" t="inlineStr">
        <is>
          <t>dona</t>
        </is>
      </c>
      <c r="E5" s="13" t="n">
        <v>100</v>
      </c>
      <c r="F5" s="12" t="n">
        <v>8000</v>
      </c>
      <c r="G5" s="14">
        <f>E5*F5</f>
        <v/>
      </c>
      <c r="H5" s="12" t="n">
        <v>10000</v>
      </c>
      <c r="I5" s="13" t="n">
        <v>20</v>
      </c>
      <c r="J5" s="10" t="inlineStr">
        <is>
          <t>Ha</t>
        </is>
      </c>
    </row>
    <row r="6">
      <c r="A6" s="10" t="inlineStr">
        <is>
          <t>PRD-002</t>
        </is>
      </c>
      <c r="B6" s="10" t="inlineStr">
        <is>
          <t>Yog' 1L</t>
        </is>
      </c>
      <c r="C6" s="10" t="inlineStr">
        <is>
          <t>Oziq-ovqat</t>
        </is>
      </c>
      <c r="D6" s="10" t="inlineStr">
        <is>
          <t>dona</t>
        </is>
      </c>
      <c r="E6" s="13" t="n">
        <v>50</v>
      </c>
      <c r="F6" s="12" t="n">
        <v>18000</v>
      </c>
      <c r="G6" s="14">
        <f>E6*F6</f>
        <v/>
      </c>
      <c r="H6" s="12" t="n">
        <v>22000</v>
      </c>
      <c r="I6" s="13" t="n">
        <v>10</v>
      </c>
      <c r="J6" s="10" t="inlineStr">
        <is>
          <t>Ha</t>
        </is>
      </c>
    </row>
    <row r="7">
      <c r="A7" s="10" t="inlineStr">
        <is>
          <t>PRD-003</t>
        </is>
      </c>
      <c r="B7" s="10" t="inlineStr">
        <is>
          <t>Sovun</t>
        </is>
      </c>
      <c r="C7" s="10" t="inlineStr">
        <is>
          <t>Maishiy</t>
        </is>
      </c>
      <c r="D7" s="10" t="inlineStr">
        <is>
          <t>dona</t>
        </is>
      </c>
      <c r="E7" s="13" t="n">
        <v>80</v>
      </c>
      <c r="F7" s="12" t="n">
        <v>3500</v>
      </c>
      <c r="G7" s="14">
        <f>E7*F7</f>
        <v/>
      </c>
      <c r="H7" s="12" t="n">
        <v>5000</v>
      </c>
      <c r="I7" s="13" t="n">
        <v>15</v>
      </c>
      <c r="J7" s="10" t="inlineStr">
        <is>
          <t>Ha</t>
        </is>
      </c>
    </row>
    <row r="8">
      <c r="A8" s="10" t="inlineStr">
        <is>
          <t>PRD-004</t>
        </is>
      </c>
      <c r="B8" s="10" t="inlineStr">
        <is>
          <t>Choy 100g</t>
        </is>
      </c>
      <c r="C8" s="10" t="inlineStr">
        <is>
          <t>Ichimlik</t>
        </is>
      </c>
      <c r="D8" s="10" t="inlineStr">
        <is>
          <t>dona</t>
        </is>
      </c>
      <c r="E8" s="13" t="n">
        <v>40</v>
      </c>
      <c r="F8" s="12" t="n">
        <v>12000</v>
      </c>
      <c r="G8" s="14">
        <f>E8*F8</f>
        <v/>
      </c>
      <c r="H8" s="12" t="n">
        <v>15000</v>
      </c>
      <c r="I8" s="13" t="n">
        <v>8</v>
      </c>
      <c r="J8" s="10" t="inlineStr">
        <is>
          <t>Ha</t>
        </is>
      </c>
    </row>
    <row r="9">
      <c r="A9" s="10" t="inlineStr">
        <is>
          <t>PRD-005</t>
        </is>
      </c>
      <c r="B9" s="10" t="inlineStr">
        <is>
          <t>Shakar 1kg</t>
        </is>
      </c>
      <c r="C9" s="10" t="inlineStr">
        <is>
          <t>Oziq-ovqat</t>
        </is>
      </c>
      <c r="D9" s="10" t="inlineStr">
        <is>
          <t>dona</t>
        </is>
      </c>
      <c r="E9" s="13" t="n">
        <v>60</v>
      </c>
      <c r="F9" s="12" t="n">
        <v>9000</v>
      </c>
      <c r="G9" s="14">
        <f>E9*F9</f>
        <v/>
      </c>
      <c r="H9" s="12" t="n">
        <v>11000</v>
      </c>
      <c r="I9" s="13" t="n">
        <v>12</v>
      </c>
      <c r="J9" s="10" t="inlineStr">
        <is>
          <t>Ha</t>
        </is>
      </c>
    </row>
    <row r="10">
      <c r="A10" s="10" t="n"/>
      <c r="B10" s="10" t="n"/>
      <c r="C10" s="10" t="n"/>
      <c r="D10" s="10" t="n"/>
      <c r="E10" s="10" t="n"/>
      <c r="F10" s="10" t="n"/>
      <c r="G10" s="14">
        <f>IF(OR(E10="",F10=""),"",E10*F10)</f>
        <v/>
      </c>
      <c r="H10" s="10" t="n"/>
      <c r="I10" s="10" t="n"/>
      <c r="J10" s="10" t="n"/>
    </row>
    <row r="11">
      <c r="A11" s="10" t="n"/>
      <c r="B11" s="10" t="n"/>
      <c r="C11" s="10" t="n"/>
      <c r="D11" s="10" t="n"/>
      <c r="E11" s="10" t="n"/>
      <c r="F11" s="10" t="n"/>
      <c r="G11" s="14">
        <f>IF(OR(E11="",F11=""),"",E11*F11)</f>
        <v/>
      </c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4">
        <f>IF(OR(E12="",F12=""),"",E12*F12)</f>
        <v/>
      </c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4">
        <f>IF(OR(E13="",F13=""),"",E13*F13)</f>
        <v/>
      </c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4">
        <f>IF(OR(E14="",F14=""),"",E14*F14)</f>
        <v/>
      </c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4">
        <f>IF(OR(E15="",F15=""),"",E15*F15)</f>
        <v/>
      </c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4">
        <f>IF(OR(E16="",F16=""),"",E16*F16)</f>
        <v/>
      </c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4">
        <f>IF(OR(E17="",F17=""),"",E17*F17)</f>
        <v/>
      </c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4">
        <f>IF(OR(E18="",F18=""),"",E18*F18)</f>
        <v/>
      </c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4">
        <f>IF(OR(E19="",F19=""),"",E19*F19)</f>
        <v/>
      </c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4">
        <f>IF(OR(E20="",F20=""),"",E20*F20)</f>
        <v/>
      </c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4">
        <f>IF(OR(E21="",F21=""),"",E21*F21)</f>
        <v/>
      </c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4">
        <f>IF(OR(E22="",F22=""),"",E22*F22)</f>
        <v/>
      </c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4">
        <f>IF(OR(E23="",F23=""),"",E23*F23)</f>
        <v/>
      </c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4">
        <f>IF(OR(E24="",F24=""),"",E24*F24)</f>
        <v/>
      </c>
      <c r="H24" s="10" t="n"/>
      <c r="I24" s="10" t="n"/>
      <c r="J24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30" customWidth="1" min="4" max="4"/>
    <col width="10" customWidth="1" min="5" max="5"/>
    <col width="11" customWidth="1" min="6" max="6"/>
    <col width="12" customWidth="1" min="7" max="7"/>
    <col width="16" customWidth="1" min="8" max="8"/>
    <col width="14" customWidth="1" min="9" max="9"/>
    <col width="30" customWidth="1" min="10" max="10"/>
    <col width="30" customWidth="1" min="11" max="11"/>
    <col width="30" customWidth="1" min="12" max="12"/>
    <col width="15" customWidth="1" min="13" max="13"/>
  </cols>
  <sheetData>
    <row r="1">
      <c r="A1" s="1" t="inlineStr">
        <is>
          <t>Oldi-berdi (kunlik harakatlar ledger)</t>
        </is>
      </c>
    </row>
    <row r="2">
      <c r="A2" s="2" t="inlineStr">
        <is>
          <t>Turi: KIRIM (xarid) yoki CHIQIM (sotuv). Miqdor_in / Miqdor_out - faqat biri to'ldiriladi. Summa, qoldiq va qiymat - formulalar.</t>
        </is>
      </c>
    </row>
    <row r="3"/>
    <row r="4" ht="32" customHeight="1">
      <c r="A4" s="9" t="inlineStr">
        <is>
          <t>Sana</t>
        </is>
      </c>
      <c r="B4" s="9" t="inlineStr">
        <is>
          <t>Hujjat_N</t>
        </is>
      </c>
      <c r="C4" s="9" t="inlineStr">
        <is>
          <t>Mahsulot_kod</t>
        </is>
      </c>
      <c r="D4" s="9" t="inlineStr">
        <is>
          <t>Mahsulot_nomi</t>
        </is>
      </c>
      <c r="E4" s="9" t="inlineStr">
        <is>
          <t>Turi</t>
        </is>
      </c>
      <c r="F4" s="9" t="inlineStr">
        <is>
          <t>Miqdor_in</t>
        </is>
      </c>
      <c r="G4" s="9" t="inlineStr">
        <is>
          <t>Miqdor_out</t>
        </is>
      </c>
      <c r="H4" s="9" t="inlineStr">
        <is>
          <t>Birlik_tannarx</t>
        </is>
      </c>
      <c r="I4" s="9" t="inlineStr">
        <is>
          <t>Birlik_sotuv</t>
        </is>
      </c>
      <c r="J4" s="9" t="inlineStr">
        <is>
          <t>Summa_UZS</t>
        </is>
      </c>
      <c r="K4" s="9" t="inlineStr">
        <is>
          <t>Qoldiq_qty</t>
        </is>
      </c>
      <c r="L4" s="9" t="inlineStr">
        <is>
          <t>Harakat_qiymati</t>
        </is>
      </c>
      <c r="M4" s="9" t="inlineStr">
        <is>
          <t>Izoh</t>
        </is>
      </c>
    </row>
    <row r="5">
      <c r="A5" s="11" t="n">
        <v>46235</v>
      </c>
      <c r="B5" s="10" t="inlineStr">
        <is>
          <t>XR-001</t>
        </is>
      </c>
      <c r="C5" s="10" t="inlineStr">
        <is>
          <t>PRD-001</t>
        </is>
      </c>
      <c r="D5" s="15">
        <f>IF(C5="","",IFERROR(XLOOKUP(C5,tblProducts[Kod],tblProducts[Nomi]),"-"))</f>
        <v/>
      </c>
      <c r="E5" s="10" t="inlineStr">
        <is>
          <t>KIRIM</t>
        </is>
      </c>
      <c r="F5" s="13" t="n">
        <v>50</v>
      </c>
      <c r="G5" s="13" t="n"/>
      <c r="H5" s="12" t="n">
        <v>8000</v>
      </c>
      <c r="I5" s="12" t="n">
        <v>10000</v>
      </c>
      <c r="J5" s="14">
        <f>IF(E5="KIRIM",IFERROR(F5*H5,0),IF(E5="CHIQIM",IFERROR(G5*I5,0),0))</f>
        <v/>
      </c>
      <c r="K5" s="16">
        <f>IFERROR(N(F5)-N(G5),0)</f>
        <v/>
      </c>
      <c r="L5" s="14">
        <f>IF(E5="KIRIM",IFERROR(F5*H5,0),IF(E5="CHIQIM",-IFERROR(G5*H5,0),0))</f>
        <v/>
      </c>
      <c r="M5" s="10" t="inlineStr">
        <is>
          <t>Yetkazuvchi A</t>
        </is>
      </c>
    </row>
    <row r="6">
      <c r="A6" s="11" t="n">
        <v>46235</v>
      </c>
      <c r="B6" s="10" t="inlineStr">
        <is>
          <t>ST-001</t>
        </is>
      </c>
      <c r="C6" s="10" t="inlineStr">
        <is>
          <t>PRD-001</t>
        </is>
      </c>
      <c r="D6" s="15">
        <f>IF(C6="","",IFERROR(XLOOKUP(C6,tblProducts[Kod],tblProducts[Nomi]),"-"))</f>
        <v/>
      </c>
      <c r="E6" s="10" t="inlineStr">
        <is>
          <t>CHIQIM</t>
        </is>
      </c>
      <c r="F6" s="13" t="n"/>
      <c r="G6" s="13" t="n">
        <v>12</v>
      </c>
      <c r="H6" s="12" t="n">
        <v>8000</v>
      </c>
      <c r="I6" s="12" t="n">
        <v>10000</v>
      </c>
      <c r="J6" s="14">
        <f>IF(E6="KIRIM",IFERROR(F6*H6,0),IF(E6="CHIQIM",IFERROR(G6*I6,0),0))</f>
        <v/>
      </c>
      <c r="K6" s="16">
        <f>IFERROR(N(F6)-N(G6),0)</f>
        <v/>
      </c>
      <c r="L6" s="14">
        <f>IF(E6="KIRIM",IFERROR(F6*H6,0),IF(E6="CHIQIM",-IFERROR(G6*H6,0),0))</f>
        <v/>
      </c>
      <c r="M6" s="10" t="inlineStr">
        <is>
          <t>Roznichka</t>
        </is>
      </c>
    </row>
    <row r="7">
      <c r="A7" s="11" t="n">
        <v>46236</v>
      </c>
      <c r="B7" s="10" t="inlineStr">
        <is>
          <t>XR-002</t>
        </is>
      </c>
      <c r="C7" s="10" t="inlineStr">
        <is>
          <t>PRD-002</t>
        </is>
      </c>
      <c r="D7" s="15">
        <f>IF(C7="","",IFERROR(XLOOKUP(C7,tblProducts[Kod],tblProducts[Nomi]),"-"))</f>
        <v/>
      </c>
      <c r="E7" s="10" t="inlineStr">
        <is>
          <t>KIRIM</t>
        </is>
      </c>
      <c r="F7" s="13" t="n">
        <v>20</v>
      </c>
      <c r="G7" s="13" t="n"/>
      <c r="H7" s="12" t="n">
        <v>18000</v>
      </c>
      <c r="I7" s="12" t="n">
        <v>22000</v>
      </c>
      <c r="J7" s="14">
        <f>IF(E7="KIRIM",IFERROR(F7*H7,0),IF(E7="CHIQIM",IFERROR(G7*I7,0),0))</f>
        <v/>
      </c>
      <c r="K7" s="16">
        <f>IFERROR(N(F7)-N(G7),0)</f>
        <v/>
      </c>
      <c r="L7" s="14">
        <f>IF(E7="KIRIM",IFERROR(F7*H7,0),IF(E7="CHIQIM",-IFERROR(G7*H7,0),0))</f>
        <v/>
      </c>
      <c r="M7" s="10" t="inlineStr">
        <is>
          <t>Yetkazuvchi B</t>
        </is>
      </c>
    </row>
    <row r="8">
      <c r="A8" s="11" t="n">
        <v>46236</v>
      </c>
      <c r="B8" s="10" t="inlineStr">
        <is>
          <t>ST-002</t>
        </is>
      </c>
      <c r="C8" s="10" t="inlineStr">
        <is>
          <t>PRD-002</t>
        </is>
      </c>
      <c r="D8" s="15">
        <f>IF(C8="","",IFERROR(XLOOKUP(C8,tblProducts[Kod],tblProducts[Nomi]),"-"))</f>
        <v/>
      </c>
      <c r="E8" s="10" t="inlineStr">
        <is>
          <t>CHIQIM</t>
        </is>
      </c>
      <c r="F8" s="13" t="n"/>
      <c r="G8" s="13" t="n">
        <v>5</v>
      </c>
      <c r="H8" s="12" t="n">
        <v>18000</v>
      </c>
      <c r="I8" s="12" t="n">
        <v>22000</v>
      </c>
      <c r="J8" s="14">
        <f>IF(E8="KIRIM",IFERROR(F8*H8,0),IF(E8="CHIQIM",IFERROR(G8*I8,0),0))</f>
        <v/>
      </c>
      <c r="K8" s="16">
        <f>IFERROR(N(F8)-N(G8),0)</f>
        <v/>
      </c>
      <c r="L8" s="14">
        <f>IF(E8="KIRIM",IFERROR(F8*H8,0),IF(E8="CHIQIM",-IFERROR(G8*H8,0),0))</f>
        <v/>
      </c>
      <c r="M8" s="10" t="inlineStr"/>
    </row>
    <row r="9">
      <c r="A9" s="11" t="n">
        <v>46237</v>
      </c>
      <c r="B9" s="10" t="inlineStr">
        <is>
          <t>ST-003</t>
        </is>
      </c>
      <c r="C9" s="10" t="inlineStr">
        <is>
          <t>PRD-003</t>
        </is>
      </c>
      <c r="D9" s="15">
        <f>IF(C9="","",IFERROR(XLOOKUP(C9,tblProducts[Kod],tblProducts[Nomi]),"-"))</f>
        <v/>
      </c>
      <c r="E9" s="10" t="inlineStr">
        <is>
          <t>CHIQIM</t>
        </is>
      </c>
      <c r="F9" s="13" t="n"/>
      <c r="G9" s="13" t="n">
        <v>10</v>
      </c>
      <c r="H9" s="12" t="n">
        <v>3500</v>
      </c>
      <c r="I9" s="12" t="n">
        <v>5000</v>
      </c>
      <c r="J9" s="14">
        <f>IF(E9="KIRIM",IFERROR(F9*H9,0),IF(E9="CHIQIM",IFERROR(G9*I9,0),0))</f>
        <v/>
      </c>
      <c r="K9" s="16">
        <f>IFERROR(N(F9)-N(G9),0)</f>
        <v/>
      </c>
      <c r="L9" s="14">
        <f>IF(E9="KIRIM",IFERROR(F9*H9,0),IF(E9="CHIQIM",-IFERROR(G9*H9,0),0))</f>
        <v/>
      </c>
      <c r="M9" s="10" t="inlineStr">
        <is>
          <t>Aksiya</t>
        </is>
      </c>
    </row>
    <row r="10">
      <c r="A10" s="11" t="n">
        <v>46238</v>
      </c>
      <c r="B10" s="10" t="inlineStr">
        <is>
          <t>XR-003</t>
        </is>
      </c>
      <c r="C10" s="10" t="inlineStr">
        <is>
          <t>PRD-005</t>
        </is>
      </c>
      <c r="D10" s="15">
        <f>IF(C10="","",IFERROR(XLOOKUP(C10,tblProducts[Kod],tblProducts[Nomi]),"-"))</f>
        <v/>
      </c>
      <c r="E10" s="10" t="inlineStr">
        <is>
          <t>KIRIM</t>
        </is>
      </c>
      <c r="F10" s="13" t="n">
        <v>30</v>
      </c>
      <c r="G10" s="13" t="n"/>
      <c r="H10" s="12" t="n">
        <v>9000</v>
      </c>
      <c r="I10" s="12" t="n">
        <v>11000</v>
      </c>
      <c r="J10" s="14">
        <f>IF(E10="KIRIM",IFERROR(F10*H10,0),IF(E10="CHIQIM",IFERROR(G10*I10,0),0))</f>
        <v/>
      </c>
      <c r="K10" s="16">
        <f>IFERROR(N(F10)-N(G10),0)</f>
        <v/>
      </c>
      <c r="L10" s="14">
        <f>IF(E10="KIRIM",IFERROR(F10*H10,0),IF(E10="CHIQIM",-IFERROR(G10*H10,0),0))</f>
        <v/>
      </c>
      <c r="M10" s="10" t="inlineStr"/>
    </row>
    <row r="11">
      <c r="A11" s="11" t="n">
        <v>46240</v>
      </c>
      <c r="B11" s="10" t="inlineStr">
        <is>
          <t>ST-004</t>
        </is>
      </c>
      <c r="C11" s="10" t="inlineStr">
        <is>
          <t>PRD-001</t>
        </is>
      </c>
      <c r="D11" s="15">
        <f>IF(C11="","",IFERROR(XLOOKUP(C11,tblProducts[Kod],tblProducts[Nomi]),"-"))</f>
        <v/>
      </c>
      <c r="E11" s="10" t="inlineStr">
        <is>
          <t>CHIQIM</t>
        </is>
      </c>
      <c r="F11" s="13" t="n"/>
      <c r="G11" s="13" t="n">
        <v>8</v>
      </c>
      <c r="H11" s="12" t="n">
        <v>8000</v>
      </c>
      <c r="I11" s="12" t="n">
        <v>10000</v>
      </c>
      <c r="J11" s="14">
        <f>IF(E11="KIRIM",IFERROR(F11*H11,0),IF(E11="CHIQIM",IFERROR(G11*I11,0),0))</f>
        <v/>
      </c>
      <c r="K11" s="16">
        <f>IFERROR(N(F11)-N(G11),0)</f>
        <v/>
      </c>
      <c r="L11" s="14">
        <f>IF(E11="KIRIM",IFERROR(F11*H11,0),IF(E11="CHIQIM",-IFERROR(G11*H11,0),0))</f>
        <v/>
      </c>
      <c r="M11" s="10" t="inlineStr"/>
    </row>
    <row r="12">
      <c r="A12" s="11" t="n">
        <v>46242</v>
      </c>
      <c r="B12" s="10" t="inlineStr">
        <is>
          <t>ST-005</t>
        </is>
      </c>
      <c r="C12" s="10" t="inlineStr">
        <is>
          <t>PRD-004</t>
        </is>
      </c>
      <c r="D12" s="15">
        <f>IF(C12="","",IFERROR(XLOOKUP(C12,tblProducts[Kod],tblProducts[Nomi]),"-"))</f>
        <v/>
      </c>
      <c r="E12" s="10" t="inlineStr">
        <is>
          <t>CHIQIM</t>
        </is>
      </c>
      <c r="F12" s="13" t="n"/>
      <c r="G12" s="13" t="n">
        <v>6</v>
      </c>
      <c r="H12" s="12" t="n">
        <v>12000</v>
      </c>
      <c r="I12" s="12" t="n">
        <v>15000</v>
      </c>
      <c r="J12" s="14">
        <f>IF(E12="KIRIM",IFERROR(F12*H12,0),IF(E12="CHIQIM",IFERROR(G12*I12,0),0))</f>
        <v/>
      </c>
      <c r="K12" s="16">
        <f>IFERROR(N(F12)-N(G12),0)</f>
        <v/>
      </c>
      <c r="L12" s="14">
        <f>IF(E12="KIRIM",IFERROR(F12*H12,0),IF(E12="CHIQIM",-IFERROR(G12*H12,0),0))</f>
        <v/>
      </c>
      <c r="M12" s="10" t="inlineStr"/>
    </row>
    <row r="13">
      <c r="A13" s="11" t="n">
        <v>46245</v>
      </c>
      <c r="B13" s="10" t="inlineStr">
        <is>
          <t>XR-004</t>
        </is>
      </c>
      <c r="C13" s="10" t="inlineStr">
        <is>
          <t>PRD-003</t>
        </is>
      </c>
      <c r="D13" s="15">
        <f>IF(C13="","",IFERROR(XLOOKUP(C13,tblProducts[Kod],tblProducts[Nomi]),"-"))</f>
        <v/>
      </c>
      <c r="E13" s="10" t="inlineStr">
        <is>
          <t>KIRIM</t>
        </is>
      </c>
      <c r="F13" s="13" t="n">
        <v>40</v>
      </c>
      <c r="G13" s="13" t="n"/>
      <c r="H13" s="12" t="n">
        <v>3400</v>
      </c>
      <c r="I13" s="12" t="n">
        <v>5000</v>
      </c>
      <c r="J13" s="14">
        <f>IF(E13="KIRIM",IFERROR(F13*H13,0),IF(E13="CHIQIM",IFERROR(G13*I13,0),0))</f>
        <v/>
      </c>
      <c r="K13" s="16">
        <f>IFERROR(N(F13)-N(G13),0)</f>
        <v/>
      </c>
      <c r="L13" s="14">
        <f>IF(E13="KIRIM",IFERROR(F13*H13,0),IF(E13="CHIQIM",-IFERROR(G13*H13,0),0))</f>
        <v/>
      </c>
      <c r="M13" s="10" t="inlineStr">
        <is>
          <t>Yangi partiya</t>
        </is>
      </c>
    </row>
    <row r="14">
      <c r="A14" s="11" t="n">
        <v>46247</v>
      </c>
      <c r="B14" s="10" t="inlineStr">
        <is>
          <t>ST-006</t>
        </is>
      </c>
      <c r="C14" s="10" t="inlineStr">
        <is>
          <t>PRD-005</t>
        </is>
      </c>
      <c r="D14" s="15">
        <f>IF(C14="","",IFERROR(XLOOKUP(C14,tblProducts[Kod],tblProducts[Nomi]),"-"))</f>
        <v/>
      </c>
      <c r="E14" s="10" t="inlineStr">
        <is>
          <t>CHIQIM</t>
        </is>
      </c>
      <c r="F14" s="13" t="n"/>
      <c r="G14" s="13" t="n">
        <v>15</v>
      </c>
      <c r="H14" s="12" t="n">
        <v>9000</v>
      </c>
      <c r="I14" s="12" t="n">
        <v>11000</v>
      </c>
      <c r="J14" s="14">
        <f>IF(E14="KIRIM",IFERROR(F14*H14,0),IF(E14="CHIQIM",IFERROR(G14*I14,0),0))</f>
        <v/>
      </c>
      <c r="K14" s="16">
        <f>IFERROR(N(F14)-N(G14),0)</f>
        <v/>
      </c>
      <c r="L14" s="14">
        <f>IF(E14="KIRIM",IFERROR(F14*H14,0),IF(E14="CHIQIM",-IFERROR(G14*H14,0),0))</f>
        <v/>
      </c>
      <c r="M14" s="10" t="inlineStr"/>
    </row>
    <row r="15">
      <c r="A15" s="11" t="n"/>
      <c r="B15" s="10" t="n"/>
      <c r="C15" s="10" t="n"/>
      <c r="D15" s="15">
        <f>IF(C15="","",IFERROR(XLOOKUP(C15,tblProducts[Kod],tblProducts[Nomi]),"-"))</f>
        <v/>
      </c>
      <c r="E15" s="10" t="n"/>
      <c r="F15" s="13" t="n"/>
      <c r="G15" s="13" t="n"/>
      <c r="H15" s="12" t="n"/>
      <c r="I15" s="12" t="n"/>
      <c r="J15" s="14">
        <f>IF(OR(C15="",E15=""),"",IF(E15="KIRIM",IFERROR(F15*H15,0),IF(E15="CHIQIM",IFERROR(G15*I15,0),0)))</f>
        <v/>
      </c>
      <c r="K15" s="16">
        <f>IF(C15="","",IFERROR(N(F15)-N(G15),0))</f>
        <v/>
      </c>
      <c r="L15" s="14">
        <f>IF(C15="","",IF(E15="KIRIM",IFERROR(F15*H15,0),IF(E15="CHIQIM",-IFERROR(G15*H15,0),0)))</f>
        <v/>
      </c>
      <c r="M15" s="10" t="n"/>
    </row>
    <row r="16">
      <c r="A16" s="11" t="n"/>
      <c r="B16" s="10" t="n"/>
      <c r="C16" s="10" t="n"/>
      <c r="D16" s="15">
        <f>IF(C16="","",IFERROR(XLOOKUP(C16,tblProducts[Kod],tblProducts[Nomi]),"-"))</f>
        <v/>
      </c>
      <c r="E16" s="10" t="n"/>
      <c r="F16" s="13" t="n"/>
      <c r="G16" s="13" t="n"/>
      <c r="H16" s="12" t="n"/>
      <c r="I16" s="12" t="n"/>
      <c r="J16" s="14">
        <f>IF(OR(C16="",E16=""),"",IF(E16="KIRIM",IFERROR(F16*H16,0),IF(E16="CHIQIM",IFERROR(G16*I16,0),0)))</f>
        <v/>
      </c>
      <c r="K16" s="16">
        <f>IF(C16="","",IFERROR(N(F16)-N(G16),0))</f>
        <v/>
      </c>
      <c r="L16" s="14">
        <f>IF(C16="","",IF(E16="KIRIM",IFERROR(F16*H16,0),IF(E16="CHIQIM",-IFERROR(G16*H16,0),0)))</f>
        <v/>
      </c>
      <c r="M16" s="10" t="n"/>
    </row>
    <row r="17">
      <c r="A17" s="11" t="n"/>
      <c r="B17" s="10" t="n"/>
      <c r="C17" s="10" t="n"/>
      <c r="D17" s="15">
        <f>IF(C17="","",IFERROR(XLOOKUP(C17,tblProducts[Kod],tblProducts[Nomi]),"-"))</f>
        <v/>
      </c>
      <c r="E17" s="10" t="n"/>
      <c r="F17" s="13" t="n"/>
      <c r="G17" s="13" t="n"/>
      <c r="H17" s="12" t="n"/>
      <c r="I17" s="12" t="n"/>
      <c r="J17" s="14">
        <f>IF(OR(C17="",E17=""),"",IF(E17="KIRIM",IFERROR(F17*H17,0),IF(E17="CHIQIM",IFERROR(G17*I17,0),0)))</f>
        <v/>
      </c>
      <c r="K17" s="16">
        <f>IF(C17="","",IFERROR(N(F17)-N(G17),0))</f>
        <v/>
      </c>
      <c r="L17" s="14">
        <f>IF(C17="","",IF(E17="KIRIM",IFERROR(F17*H17,0),IF(E17="CHIQIM",-IFERROR(G17*H17,0),0)))</f>
        <v/>
      </c>
      <c r="M17" s="10" t="n"/>
    </row>
    <row r="18">
      <c r="A18" s="11" t="n"/>
      <c r="B18" s="10" t="n"/>
      <c r="C18" s="10" t="n"/>
      <c r="D18" s="15">
        <f>IF(C18="","",IFERROR(XLOOKUP(C18,tblProducts[Kod],tblProducts[Nomi]),"-"))</f>
        <v/>
      </c>
      <c r="E18" s="10" t="n"/>
      <c r="F18" s="13" t="n"/>
      <c r="G18" s="13" t="n"/>
      <c r="H18" s="12" t="n"/>
      <c r="I18" s="12" t="n"/>
      <c r="J18" s="14">
        <f>IF(OR(C18="",E18=""),"",IF(E18="KIRIM",IFERROR(F18*H18,0),IF(E18="CHIQIM",IFERROR(G18*I18,0),0)))</f>
        <v/>
      </c>
      <c r="K18" s="16">
        <f>IF(C18="","",IFERROR(N(F18)-N(G18),0))</f>
        <v/>
      </c>
      <c r="L18" s="14">
        <f>IF(C18="","",IF(E18="KIRIM",IFERROR(F18*H18,0),IF(E18="CHIQIM",-IFERROR(G18*H18,0),0)))</f>
        <v/>
      </c>
      <c r="M18" s="10" t="n"/>
    </row>
    <row r="19">
      <c r="A19" s="11" t="n"/>
      <c r="B19" s="10" t="n"/>
      <c r="C19" s="10" t="n"/>
      <c r="D19" s="15">
        <f>IF(C19="","",IFERROR(XLOOKUP(C19,tblProducts[Kod],tblProducts[Nomi]),"-"))</f>
        <v/>
      </c>
      <c r="E19" s="10" t="n"/>
      <c r="F19" s="13" t="n"/>
      <c r="G19" s="13" t="n"/>
      <c r="H19" s="12" t="n"/>
      <c r="I19" s="12" t="n"/>
      <c r="J19" s="14">
        <f>IF(OR(C19="",E19=""),"",IF(E19="KIRIM",IFERROR(F19*H19,0),IF(E19="CHIQIM",IFERROR(G19*I19,0),0)))</f>
        <v/>
      </c>
      <c r="K19" s="16">
        <f>IF(C19="","",IFERROR(N(F19)-N(G19),0))</f>
        <v/>
      </c>
      <c r="L19" s="14">
        <f>IF(C19="","",IF(E19="KIRIM",IFERROR(F19*H19,0),IF(E19="CHIQIM",-IFERROR(G19*H19,0),0)))</f>
        <v/>
      </c>
      <c r="M19" s="10" t="n"/>
    </row>
    <row r="20">
      <c r="A20" s="11" t="n"/>
      <c r="B20" s="10" t="n"/>
      <c r="C20" s="10" t="n"/>
      <c r="D20" s="15">
        <f>IF(C20="","",IFERROR(XLOOKUP(C20,tblProducts[Kod],tblProducts[Nomi]),"-"))</f>
        <v/>
      </c>
      <c r="E20" s="10" t="n"/>
      <c r="F20" s="13" t="n"/>
      <c r="G20" s="13" t="n"/>
      <c r="H20" s="12" t="n"/>
      <c r="I20" s="12" t="n"/>
      <c r="J20" s="14">
        <f>IF(OR(C20="",E20=""),"",IF(E20="KIRIM",IFERROR(F20*H20,0),IF(E20="CHIQIM",IFERROR(G20*I20,0),0)))</f>
        <v/>
      </c>
      <c r="K20" s="16">
        <f>IF(C20="","",IFERROR(N(F20)-N(G20),0))</f>
        <v/>
      </c>
      <c r="L20" s="14">
        <f>IF(C20="","",IF(E20="KIRIM",IFERROR(F20*H20,0),IF(E20="CHIQIM",-IFERROR(G20*H20,0),0)))</f>
        <v/>
      </c>
      <c r="M20" s="10" t="n"/>
    </row>
    <row r="21">
      <c r="A21" s="11" t="n"/>
      <c r="B21" s="10" t="n"/>
      <c r="C21" s="10" t="n"/>
      <c r="D21" s="15">
        <f>IF(C21="","",IFERROR(XLOOKUP(C21,tblProducts[Kod],tblProducts[Nomi]),"-"))</f>
        <v/>
      </c>
      <c r="E21" s="10" t="n"/>
      <c r="F21" s="13" t="n"/>
      <c r="G21" s="13" t="n"/>
      <c r="H21" s="12" t="n"/>
      <c r="I21" s="12" t="n"/>
      <c r="J21" s="14">
        <f>IF(OR(C21="",E21=""),"",IF(E21="KIRIM",IFERROR(F21*H21,0),IF(E21="CHIQIM",IFERROR(G21*I21,0),0)))</f>
        <v/>
      </c>
      <c r="K21" s="16">
        <f>IF(C21="","",IFERROR(N(F21)-N(G21),0))</f>
        <v/>
      </c>
      <c r="L21" s="14">
        <f>IF(C21="","",IF(E21="KIRIM",IFERROR(F21*H21,0),IF(E21="CHIQIM",-IFERROR(G21*H21,0),0)))</f>
        <v/>
      </c>
      <c r="M21" s="10" t="n"/>
    </row>
    <row r="22">
      <c r="A22" s="11" t="n"/>
      <c r="B22" s="10" t="n"/>
      <c r="C22" s="10" t="n"/>
      <c r="D22" s="15">
        <f>IF(C22="","",IFERROR(XLOOKUP(C22,tblProducts[Kod],tblProducts[Nomi]),"-"))</f>
        <v/>
      </c>
      <c r="E22" s="10" t="n"/>
      <c r="F22" s="13" t="n"/>
      <c r="G22" s="13" t="n"/>
      <c r="H22" s="12" t="n"/>
      <c r="I22" s="12" t="n"/>
      <c r="J22" s="14">
        <f>IF(OR(C22="",E22=""),"",IF(E22="KIRIM",IFERROR(F22*H22,0),IF(E22="CHIQIM",IFERROR(G22*I22,0),0)))</f>
        <v/>
      </c>
      <c r="K22" s="16">
        <f>IF(C22="","",IFERROR(N(F22)-N(G22),0))</f>
        <v/>
      </c>
      <c r="L22" s="14">
        <f>IF(C22="","",IF(E22="KIRIM",IFERROR(F22*H22,0),IF(E22="CHIQIM",-IFERROR(G22*H22,0),0)))</f>
        <v/>
      </c>
      <c r="M22" s="10" t="n"/>
    </row>
    <row r="23">
      <c r="A23" s="11" t="n"/>
      <c r="B23" s="10" t="n"/>
      <c r="C23" s="10" t="n"/>
      <c r="D23" s="15">
        <f>IF(C23="","",IFERROR(XLOOKUP(C23,tblProducts[Kod],tblProducts[Nomi]),"-"))</f>
        <v/>
      </c>
      <c r="E23" s="10" t="n"/>
      <c r="F23" s="13" t="n"/>
      <c r="G23" s="13" t="n"/>
      <c r="H23" s="12" t="n"/>
      <c r="I23" s="12" t="n"/>
      <c r="J23" s="14">
        <f>IF(OR(C23="",E23=""),"",IF(E23="KIRIM",IFERROR(F23*H23,0),IF(E23="CHIQIM",IFERROR(G23*I23,0),0)))</f>
        <v/>
      </c>
      <c r="K23" s="16">
        <f>IF(C23="","",IFERROR(N(F23)-N(G23),0))</f>
        <v/>
      </c>
      <c r="L23" s="14">
        <f>IF(C23="","",IF(E23="KIRIM",IFERROR(F23*H23,0),IF(E23="CHIQIM",-IFERROR(G23*H23,0),0)))</f>
        <v/>
      </c>
      <c r="M23" s="10" t="n"/>
    </row>
    <row r="24">
      <c r="A24" s="11" t="n"/>
      <c r="B24" s="10" t="n"/>
      <c r="C24" s="10" t="n"/>
      <c r="D24" s="15">
        <f>IF(C24="","",IFERROR(XLOOKUP(C24,tblProducts[Kod],tblProducts[Nomi]),"-"))</f>
        <v/>
      </c>
      <c r="E24" s="10" t="n"/>
      <c r="F24" s="13" t="n"/>
      <c r="G24" s="13" t="n"/>
      <c r="H24" s="12" t="n"/>
      <c r="I24" s="12" t="n"/>
      <c r="J24" s="14">
        <f>IF(OR(C24="",E24=""),"",IF(E24="KIRIM",IFERROR(F24*H24,0),IF(E24="CHIQIM",IFERROR(G24*I24,0),0)))</f>
        <v/>
      </c>
      <c r="K24" s="16">
        <f>IF(C24="","",IFERROR(N(F24)-N(G24),0))</f>
        <v/>
      </c>
      <c r="L24" s="14">
        <f>IF(C24="","",IF(E24="KIRIM",IFERROR(F24*H24,0),IF(E24="CHIQIM",-IFERROR(G24*H24,0),0)))</f>
        <v/>
      </c>
      <c r="M24" s="10" t="n"/>
    </row>
    <row r="25">
      <c r="A25" s="11" t="n"/>
      <c r="B25" s="10" t="n"/>
      <c r="C25" s="10" t="n"/>
      <c r="D25" s="15">
        <f>IF(C25="","",IFERROR(XLOOKUP(C25,tblProducts[Kod],tblProducts[Nomi]),"-"))</f>
        <v/>
      </c>
      <c r="E25" s="10" t="n"/>
      <c r="F25" s="13" t="n"/>
      <c r="G25" s="13" t="n"/>
      <c r="H25" s="12" t="n"/>
      <c r="I25" s="12" t="n"/>
      <c r="J25" s="14">
        <f>IF(OR(C25="",E25=""),"",IF(E25="KIRIM",IFERROR(F25*H25,0),IF(E25="CHIQIM",IFERROR(G25*I25,0),0)))</f>
        <v/>
      </c>
      <c r="K25" s="16">
        <f>IF(C25="","",IFERROR(N(F25)-N(G25),0))</f>
        <v/>
      </c>
      <c r="L25" s="14">
        <f>IF(C25="","",IF(E25="KIRIM",IFERROR(F25*H25,0),IF(E25="CHIQIM",-IFERROR(G25*H25,0),0)))</f>
        <v/>
      </c>
      <c r="M25" s="10" t="n"/>
    </row>
    <row r="26">
      <c r="A26" s="11" t="n"/>
      <c r="B26" s="10" t="n"/>
      <c r="C26" s="10" t="n"/>
      <c r="D26" s="15">
        <f>IF(C26="","",IFERROR(XLOOKUP(C26,tblProducts[Kod],tblProducts[Nomi]),"-"))</f>
        <v/>
      </c>
      <c r="E26" s="10" t="n"/>
      <c r="F26" s="13" t="n"/>
      <c r="G26" s="13" t="n"/>
      <c r="H26" s="12" t="n"/>
      <c r="I26" s="12" t="n"/>
      <c r="J26" s="14">
        <f>IF(OR(C26="",E26=""),"",IF(E26="KIRIM",IFERROR(F26*H26,0),IF(E26="CHIQIM",IFERROR(G26*I26,0),0)))</f>
        <v/>
      </c>
      <c r="K26" s="16">
        <f>IF(C26="","",IFERROR(N(F26)-N(G26),0))</f>
        <v/>
      </c>
      <c r="L26" s="14">
        <f>IF(C26="","",IF(E26="KIRIM",IFERROR(F26*H26,0),IF(E26="CHIQIM",-IFERROR(G26*H26,0),0)))</f>
        <v/>
      </c>
      <c r="M26" s="10" t="n"/>
    </row>
    <row r="27">
      <c r="A27" s="11" t="n"/>
      <c r="B27" s="10" t="n"/>
      <c r="C27" s="10" t="n"/>
      <c r="D27" s="15">
        <f>IF(C27="","",IFERROR(XLOOKUP(C27,tblProducts[Kod],tblProducts[Nomi]),"-"))</f>
        <v/>
      </c>
      <c r="E27" s="10" t="n"/>
      <c r="F27" s="13" t="n"/>
      <c r="G27" s="13" t="n"/>
      <c r="H27" s="12" t="n"/>
      <c r="I27" s="12" t="n"/>
      <c r="J27" s="14">
        <f>IF(OR(C27="",E27=""),"",IF(E27="KIRIM",IFERROR(F27*H27,0),IF(E27="CHIQIM",IFERROR(G27*I27,0),0)))</f>
        <v/>
      </c>
      <c r="K27" s="16">
        <f>IF(C27="","",IFERROR(N(F27)-N(G27),0))</f>
        <v/>
      </c>
      <c r="L27" s="14">
        <f>IF(C27="","",IF(E27="KIRIM",IFERROR(F27*H27,0),IF(E27="CHIQIM",-IFERROR(G27*H27,0),0)))</f>
        <v/>
      </c>
      <c r="M27" s="10" t="n"/>
    </row>
    <row r="28">
      <c r="A28" s="11" t="n"/>
      <c r="B28" s="10" t="n"/>
      <c r="C28" s="10" t="n"/>
      <c r="D28" s="15">
        <f>IF(C28="","",IFERROR(XLOOKUP(C28,tblProducts[Kod],tblProducts[Nomi]),"-"))</f>
        <v/>
      </c>
      <c r="E28" s="10" t="n"/>
      <c r="F28" s="13" t="n"/>
      <c r="G28" s="13" t="n"/>
      <c r="H28" s="12" t="n"/>
      <c r="I28" s="12" t="n"/>
      <c r="J28" s="14">
        <f>IF(OR(C28="",E28=""),"",IF(E28="KIRIM",IFERROR(F28*H28,0),IF(E28="CHIQIM",IFERROR(G28*I28,0),0)))</f>
        <v/>
      </c>
      <c r="K28" s="16">
        <f>IF(C28="","",IFERROR(N(F28)-N(G28),0))</f>
        <v/>
      </c>
      <c r="L28" s="14">
        <f>IF(C28="","",IF(E28="KIRIM",IFERROR(F28*H28,0),IF(E28="CHIQIM",-IFERROR(G28*H28,0),0)))</f>
        <v/>
      </c>
      <c r="M28" s="10" t="n"/>
    </row>
    <row r="29">
      <c r="A29" s="11" t="n"/>
      <c r="B29" s="10" t="n"/>
      <c r="C29" s="10" t="n"/>
      <c r="D29" s="15">
        <f>IF(C29="","",IFERROR(XLOOKUP(C29,tblProducts[Kod],tblProducts[Nomi]),"-"))</f>
        <v/>
      </c>
      <c r="E29" s="10" t="n"/>
      <c r="F29" s="13" t="n"/>
      <c r="G29" s="13" t="n"/>
      <c r="H29" s="12" t="n"/>
      <c r="I29" s="12" t="n"/>
      <c r="J29" s="14">
        <f>IF(OR(C29="",E29=""),"",IF(E29="KIRIM",IFERROR(F29*H29,0),IF(E29="CHIQIM",IFERROR(G29*I29,0),0)))</f>
        <v/>
      </c>
      <c r="K29" s="16">
        <f>IF(C29="","",IFERROR(N(F29)-N(G29),0))</f>
        <v/>
      </c>
      <c r="L29" s="14">
        <f>IF(C29="","",IF(E29="KIRIM",IFERROR(F29*H29,0),IF(E29="CHIQIM",-IFERROR(G29*H29,0),0)))</f>
        <v/>
      </c>
      <c r="M29" s="10" t="n"/>
    </row>
    <row r="30">
      <c r="A30" s="11" t="n"/>
      <c r="B30" s="10" t="n"/>
      <c r="C30" s="10" t="n"/>
      <c r="D30" s="15">
        <f>IF(C30="","",IFERROR(XLOOKUP(C30,tblProducts[Kod],tblProducts[Nomi]),"-"))</f>
        <v/>
      </c>
      <c r="E30" s="10" t="n"/>
      <c r="F30" s="13" t="n"/>
      <c r="G30" s="13" t="n"/>
      <c r="H30" s="12" t="n"/>
      <c r="I30" s="12" t="n"/>
      <c r="J30" s="14">
        <f>IF(OR(C30="",E30=""),"",IF(E30="KIRIM",IFERROR(F30*H30,0),IF(E30="CHIQIM",IFERROR(G30*I30,0),0)))</f>
        <v/>
      </c>
      <c r="K30" s="16">
        <f>IF(C30="","",IFERROR(N(F30)-N(G30),0))</f>
        <v/>
      </c>
      <c r="L30" s="14">
        <f>IF(C30="","",IF(E30="KIRIM",IFERROR(F30*H30,0),IF(E30="CHIQIM",-IFERROR(G30*H30,0),0)))</f>
        <v/>
      </c>
      <c r="M30" s="10" t="n"/>
    </row>
    <row r="31">
      <c r="A31" s="11" t="n"/>
      <c r="B31" s="10" t="n"/>
      <c r="C31" s="10" t="n"/>
      <c r="D31" s="15">
        <f>IF(C31="","",IFERROR(XLOOKUP(C31,tblProducts[Kod],tblProducts[Nomi]),"-"))</f>
        <v/>
      </c>
      <c r="E31" s="10" t="n"/>
      <c r="F31" s="13" t="n"/>
      <c r="G31" s="13" t="n"/>
      <c r="H31" s="12" t="n"/>
      <c r="I31" s="12" t="n"/>
      <c r="J31" s="14">
        <f>IF(OR(C31="",E31=""),"",IF(E31="KIRIM",IFERROR(F31*H31,0),IF(E31="CHIQIM",IFERROR(G31*I31,0),0)))</f>
        <v/>
      </c>
      <c r="K31" s="16">
        <f>IF(C31="","",IFERROR(N(F31)-N(G31),0))</f>
        <v/>
      </c>
      <c r="L31" s="14">
        <f>IF(C31="","",IF(E31="KIRIM",IFERROR(F31*H31,0),IF(E31="CHIQIM",-IFERROR(G31*H31,0),0)))</f>
        <v/>
      </c>
      <c r="M31" s="10" t="n"/>
    </row>
    <row r="32">
      <c r="A32" s="11" t="n"/>
      <c r="B32" s="10" t="n"/>
      <c r="C32" s="10" t="n"/>
      <c r="D32" s="15">
        <f>IF(C32="","",IFERROR(XLOOKUP(C32,tblProducts[Kod],tblProducts[Nomi]),"-"))</f>
        <v/>
      </c>
      <c r="E32" s="10" t="n"/>
      <c r="F32" s="13" t="n"/>
      <c r="G32" s="13" t="n"/>
      <c r="H32" s="12" t="n"/>
      <c r="I32" s="12" t="n"/>
      <c r="J32" s="14">
        <f>IF(OR(C32="",E32=""),"",IF(E32="KIRIM",IFERROR(F32*H32,0),IF(E32="CHIQIM",IFERROR(G32*I32,0),0)))</f>
        <v/>
      </c>
      <c r="K32" s="16">
        <f>IF(C32="","",IFERROR(N(F32)-N(G32),0))</f>
        <v/>
      </c>
      <c r="L32" s="14">
        <f>IF(C32="","",IF(E32="KIRIM",IFERROR(F32*H32,0),IF(E32="CHIQIM",-IFERROR(G32*H32,0),0)))</f>
        <v/>
      </c>
      <c r="M32" s="10" t="n"/>
    </row>
    <row r="33">
      <c r="A33" s="11" t="n"/>
      <c r="B33" s="10" t="n"/>
      <c r="C33" s="10" t="n"/>
      <c r="D33" s="15">
        <f>IF(C33="","",IFERROR(XLOOKUP(C33,tblProducts[Kod],tblProducts[Nomi]),"-"))</f>
        <v/>
      </c>
      <c r="E33" s="10" t="n"/>
      <c r="F33" s="13" t="n"/>
      <c r="G33" s="13" t="n"/>
      <c r="H33" s="12" t="n"/>
      <c r="I33" s="12" t="n"/>
      <c r="J33" s="14">
        <f>IF(OR(C33="",E33=""),"",IF(E33="KIRIM",IFERROR(F33*H33,0),IF(E33="CHIQIM",IFERROR(G33*I33,0),0)))</f>
        <v/>
      </c>
      <c r="K33" s="16">
        <f>IF(C33="","",IFERROR(N(F33)-N(G33),0))</f>
        <v/>
      </c>
      <c r="L33" s="14">
        <f>IF(C33="","",IF(E33="KIRIM",IFERROR(F33*H33,0),IF(E33="CHIQIM",-IFERROR(G33*H33,0),0)))</f>
        <v/>
      </c>
      <c r="M33" s="10" t="n"/>
    </row>
    <row r="34">
      <c r="A34" s="11" t="n"/>
      <c r="B34" s="10" t="n"/>
      <c r="C34" s="10" t="n"/>
      <c r="D34" s="15">
        <f>IF(C34="","",IFERROR(XLOOKUP(C34,tblProducts[Kod],tblProducts[Nomi]),"-"))</f>
        <v/>
      </c>
      <c r="E34" s="10" t="n"/>
      <c r="F34" s="13" t="n"/>
      <c r="G34" s="13" t="n"/>
      <c r="H34" s="12" t="n"/>
      <c r="I34" s="12" t="n"/>
      <c r="J34" s="14">
        <f>IF(OR(C34="",E34=""),"",IF(E34="KIRIM",IFERROR(F34*H34,0),IF(E34="CHIQIM",IFERROR(G34*I34,0),0)))</f>
        <v/>
      </c>
      <c r="K34" s="16">
        <f>IF(C34="","",IFERROR(N(F34)-N(G34),0))</f>
        <v/>
      </c>
      <c r="L34" s="14">
        <f>IF(C34="","",IF(E34="KIRIM",IFERROR(F34*H34,0),IF(E34="CHIQIM",-IFERROR(G34*H34,0),0)))</f>
        <v/>
      </c>
      <c r="M34" s="10" t="n"/>
    </row>
    <row r="35">
      <c r="A35" s="11" t="n"/>
      <c r="B35" s="10" t="n"/>
      <c r="C35" s="10" t="n"/>
      <c r="D35" s="15">
        <f>IF(C35="","",IFERROR(XLOOKUP(C35,tblProducts[Kod],tblProducts[Nomi]),"-"))</f>
        <v/>
      </c>
      <c r="E35" s="10" t="n"/>
      <c r="F35" s="13" t="n"/>
      <c r="G35" s="13" t="n"/>
      <c r="H35" s="12" t="n"/>
      <c r="I35" s="12" t="n"/>
      <c r="J35" s="14">
        <f>IF(OR(C35="",E35=""),"",IF(E35="KIRIM",IFERROR(F35*H35,0),IF(E35="CHIQIM",IFERROR(G35*I35,0),0)))</f>
        <v/>
      </c>
      <c r="K35" s="16">
        <f>IF(C35="","",IFERROR(N(F35)-N(G35),0))</f>
        <v/>
      </c>
      <c r="L35" s="14">
        <f>IF(C35="","",IF(E35="KIRIM",IFERROR(F35*H35,0),IF(E35="CHIQIM",-IFERROR(G35*H35,0),0)))</f>
        <v/>
      </c>
      <c r="M35" s="10" t="n"/>
    </row>
    <row r="36">
      <c r="A36" s="11" t="n"/>
      <c r="B36" s="10" t="n"/>
      <c r="C36" s="10" t="n"/>
      <c r="D36" s="15">
        <f>IF(C36="","",IFERROR(XLOOKUP(C36,tblProducts[Kod],tblProducts[Nomi]),"-"))</f>
        <v/>
      </c>
      <c r="E36" s="10" t="n"/>
      <c r="F36" s="13" t="n"/>
      <c r="G36" s="13" t="n"/>
      <c r="H36" s="12" t="n"/>
      <c r="I36" s="12" t="n"/>
      <c r="J36" s="14">
        <f>IF(OR(C36="",E36=""),"",IF(E36="KIRIM",IFERROR(F36*H36,0),IF(E36="CHIQIM",IFERROR(G36*I36,0),0)))</f>
        <v/>
      </c>
      <c r="K36" s="16">
        <f>IF(C36="","",IFERROR(N(F36)-N(G36),0))</f>
        <v/>
      </c>
      <c r="L36" s="14">
        <f>IF(C36="","",IF(E36="KIRIM",IFERROR(F36*H36,0),IF(E36="CHIQIM",-IFERROR(G36*H36,0),0)))</f>
        <v/>
      </c>
      <c r="M36" s="10" t="n"/>
    </row>
    <row r="37">
      <c r="A37" s="11" t="n"/>
      <c r="B37" s="10" t="n"/>
      <c r="C37" s="10" t="n"/>
      <c r="D37" s="15">
        <f>IF(C37="","",IFERROR(XLOOKUP(C37,tblProducts[Kod],tblProducts[Nomi]),"-"))</f>
        <v/>
      </c>
      <c r="E37" s="10" t="n"/>
      <c r="F37" s="13" t="n"/>
      <c r="G37" s="13" t="n"/>
      <c r="H37" s="12" t="n"/>
      <c r="I37" s="12" t="n"/>
      <c r="J37" s="14">
        <f>IF(OR(C37="",E37=""),"",IF(E37="KIRIM",IFERROR(F37*H37,0),IF(E37="CHIQIM",IFERROR(G37*I37,0),0)))</f>
        <v/>
      </c>
      <c r="K37" s="16">
        <f>IF(C37="","",IFERROR(N(F37)-N(G37),0))</f>
        <v/>
      </c>
      <c r="L37" s="14">
        <f>IF(C37="","",IF(E37="KIRIM",IFERROR(F37*H37,0),IF(E37="CHIQIM",-IFERROR(G37*H37,0),0)))</f>
        <v/>
      </c>
      <c r="M37" s="10" t="n"/>
    </row>
    <row r="38">
      <c r="A38" s="11" t="n"/>
      <c r="B38" s="10" t="n"/>
      <c r="C38" s="10" t="n"/>
      <c r="D38" s="15">
        <f>IF(C38="","",IFERROR(XLOOKUP(C38,tblProducts[Kod],tblProducts[Nomi]),"-"))</f>
        <v/>
      </c>
      <c r="E38" s="10" t="n"/>
      <c r="F38" s="13" t="n"/>
      <c r="G38" s="13" t="n"/>
      <c r="H38" s="12" t="n"/>
      <c r="I38" s="12" t="n"/>
      <c r="J38" s="14">
        <f>IF(OR(C38="",E38=""),"",IF(E38="KIRIM",IFERROR(F38*H38,0),IF(E38="CHIQIM",IFERROR(G38*I38,0),0)))</f>
        <v/>
      </c>
      <c r="K38" s="16">
        <f>IF(C38="","",IFERROR(N(F38)-N(G38),0))</f>
        <v/>
      </c>
      <c r="L38" s="14">
        <f>IF(C38="","",IF(E38="KIRIM",IFERROR(F38*H38,0),IF(E38="CHIQIM",-IFERROR(G38*H38,0),0)))</f>
        <v/>
      </c>
      <c r="M38" s="10" t="n"/>
    </row>
    <row r="39">
      <c r="A39" s="11" t="n"/>
      <c r="B39" s="10" t="n"/>
      <c r="C39" s="10" t="n"/>
      <c r="D39" s="15">
        <f>IF(C39="","",IFERROR(XLOOKUP(C39,tblProducts[Kod],tblProducts[Nomi]),"-"))</f>
        <v/>
      </c>
      <c r="E39" s="10" t="n"/>
      <c r="F39" s="13" t="n"/>
      <c r="G39" s="13" t="n"/>
      <c r="H39" s="12" t="n"/>
      <c r="I39" s="12" t="n"/>
      <c r="J39" s="14">
        <f>IF(OR(C39="",E39=""),"",IF(E39="KIRIM",IFERROR(F39*H39,0),IF(E39="CHIQIM",IFERROR(G39*I39,0),0)))</f>
        <v/>
      </c>
      <c r="K39" s="16">
        <f>IF(C39="","",IFERROR(N(F39)-N(G39),0))</f>
        <v/>
      </c>
      <c r="L39" s="14">
        <f>IF(C39="","",IF(E39="KIRIM",IFERROR(F39*H39,0),IF(E39="CHIQIM",-IFERROR(G39*H39,0),0)))</f>
        <v/>
      </c>
      <c r="M39" s="10" t="n"/>
    </row>
    <row r="40">
      <c r="A40" s="11" t="n"/>
      <c r="B40" s="10" t="n"/>
      <c r="C40" s="10" t="n"/>
      <c r="D40" s="15">
        <f>IF(C40="","",IFERROR(XLOOKUP(C40,tblProducts[Kod],tblProducts[Nomi]),"-"))</f>
        <v/>
      </c>
      <c r="E40" s="10" t="n"/>
      <c r="F40" s="13" t="n"/>
      <c r="G40" s="13" t="n"/>
      <c r="H40" s="12" t="n"/>
      <c r="I40" s="12" t="n"/>
      <c r="J40" s="14">
        <f>IF(OR(C40="",E40=""),"",IF(E40="KIRIM",IFERROR(F40*H40,0),IF(E40="CHIQIM",IFERROR(G40*I40,0),0)))</f>
        <v/>
      </c>
      <c r="K40" s="16">
        <f>IF(C40="","",IFERROR(N(F40)-N(G40),0))</f>
        <v/>
      </c>
      <c r="L40" s="14">
        <f>IF(C40="","",IF(E40="KIRIM",IFERROR(F40*H40,0),IF(E40="CHIQIM",-IFERROR(G40*H40,0),0)))</f>
        <v/>
      </c>
      <c r="M40" s="10" t="n"/>
    </row>
    <row r="41">
      <c r="A41" s="11" t="n"/>
      <c r="B41" s="10" t="n"/>
      <c r="C41" s="10" t="n"/>
      <c r="D41" s="15">
        <f>IF(C41="","",IFERROR(XLOOKUP(C41,tblProducts[Kod],tblProducts[Nomi]),"-"))</f>
        <v/>
      </c>
      <c r="E41" s="10" t="n"/>
      <c r="F41" s="13" t="n"/>
      <c r="G41" s="13" t="n"/>
      <c r="H41" s="12" t="n"/>
      <c r="I41" s="12" t="n"/>
      <c r="J41" s="14">
        <f>IF(OR(C41="",E41=""),"",IF(E41="KIRIM",IFERROR(F41*H41,0),IF(E41="CHIQIM",IFERROR(G41*I41,0),0)))</f>
        <v/>
      </c>
      <c r="K41" s="16">
        <f>IF(C41="","",IFERROR(N(F41)-N(G41),0))</f>
        <v/>
      </c>
      <c r="L41" s="14">
        <f>IF(C41="","",IF(E41="KIRIM",IFERROR(F41*H41,0),IF(E41="CHIQIM",-IFERROR(G41*H41,0),0)))</f>
        <v/>
      </c>
      <c r="M41" s="10" t="n"/>
    </row>
    <row r="42">
      <c r="A42" s="11" t="n"/>
      <c r="B42" s="10" t="n"/>
      <c r="C42" s="10" t="n"/>
      <c r="D42" s="15">
        <f>IF(C42="","",IFERROR(XLOOKUP(C42,tblProducts[Kod],tblProducts[Nomi]),"-"))</f>
        <v/>
      </c>
      <c r="E42" s="10" t="n"/>
      <c r="F42" s="13" t="n"/>
      <c r="G42" s="13" t="n"/>
      <c r="H42" s="12" t="n"/>
      <c r="I42" s="12" t="n"/>
      <c r="J42" s="14">
        <f>IF(OR(C42="",E42=""),"",IF(E42="KIRIM",IFERROR(F42*H42,0),IF(E42="CHIQIM",IFERROR(G42*I42,0),0)))</f>
        <v/>
      </c>
      <c r="K42" s="16">
        <f>IF(C42="","",IFERROR(N(F42)-N(G42),0))</f>
        <v/>
      </c>
      <c r="L42" s="14">
        <f>IF(C42="","",IF(E42="KIRIM",IFERROR(F42*H42,0),IF(E42="CHIQIM",-IFERROR(G42*H42,0),0)))</f>
        <v/>
      </c>
      <c r="M42" s="10" t="n"/>
    </row>
    <row r="43">
      <c r="A43" s="11" t="n"/>
      <c r="B43" s="10" t="n"/>
      <c r="C43" s="10" t="n"/>
      <c r="D43" s="15">
        <f>IF(C43="","",IFERROR(XLOOKUP(C43,tblProducts[Kod],tblProducts[Nomi]),"-"))</f>
        <v/>
      </c>
      <c r="E43" s="10" t="n"/>
      <c r="F43" s="13" t="n"/>
      <c r="G43" s="13" t="n"/>
      <c r="H43" s="12" t="n"/>
      <c r="I43" s="12" t="n"/>
      <c r="J43" s="14">
        <f>IF(OR(C43="",E43=""),"",IF(E43="KIRIM",IFERROR(F43*H43,0),IF(E43="CHIQIM",IFERROR(G43*I43,0),0)))</f>
        <v/>
      </c>
      <c r="K43" s="16">
        <f>IF(C43="","",IFERROR(N(F43)-N(G43),0))</f>
        <v/>
      </c>
      <c r="L43" s="14">
        <f>IF(C43="","",IF(E43="KIRIM",IFERROR(F43*H43,0),IF(E43="CHIQIM",-IFERROR(G43*H43,0),0)))</f>
        <v/>
      </c>
      <c r="M43" s="10" t="n"/>
    </row>
    <row r="44">
      <c r="A44" s="11" t="n"/>
      <c r="B44" s="10" t="n"/>
      <c r="C44" s="10" t="n"/>
      <c r="D44" s="15">
        <f>IF(C44="","",IFERROR(XLOOKUP(C44,tblProducts[Kod],tblProducts[Nomi]),"-"))</f>
        <v/>
      </c>
      <c r="E44" s="10" t="n"/>
      <c r="F44" s="13" t="n"/>
      <c r="G44" s="13" t="n"/>
      <c r="H44" s="12" t="n"/>
      <c r="I44" s="12" t="n"/>
      <c r="J44" s="14">
        <f>IF(OR(C44="",E44=""),"",IF(E44="KIRIM",IFERROR(F44*H44,0),IF(E44="CHIQIM",IFERROR(G44*I44,0),0)))</f>
        <v/>
      </c>
      <c r="K44" s="16">
        <f>IF(C44="","",IFERROR(N(F44)-N(G44),0))</f>
        <v/>
      </c>
      <c r="L44" s="14">
        <f>IF(C44="","",IF(E44="KIRIM",IFERROR(F44*H44,0),IF(E44="CHIQIM",-IFERROR(G44*H44,0),0)))</f>
        <v/>
      </c>
      <c r="M44" s="10" t="n"/>
    </row>
    <row r="45">
      <c r="A45" s="11" t="n"/>
      <c r="B45" s="10" t="n"/>
      <c r="C45" s="10" t="n"/>
      <c r="D45" s="15">
        <f>IF(C45="","",IFERROR(XLOOKUP(C45,tblProducts[Kod],tblProducts[Nomi]),"-"))</f>
        <v/>
      </c>
      <c r="E45" s="10" t="n"/>
      <c r="F45" s="13" t="n"/>
      <c r="G45" s="13" t="n"/>
      <c r="H45" s="12" t="n"/>
      <c r="I45" s="12" t="n"/>
      <c r="J45" s="14">
        <f>IF(OR(C45="",E45=""),"",IF(E45="KIRIM",IFERROR(F45*H45,0),IF(E45="CHIQIM",IFERROR(G45*I45,0),0)))</f>
        <v/>
      </c>
      <c r="K45" s="16">
        <f>IF(C45="","",IFERROR(N(F45)-N(G45),0))</f>
        <v/>
      </c>
      <c r="L45" s="14">
        <f>IF(C45="","",IF(E45="KIRIM",IFERROR(F45*H45,0),IF(E45="CHIQIM",-IFERROR(G45*H45,0),0)))</f>
        <v/>
      </c>
      <c r="M45" s="10" t="n"/>
    </row>
    <row r="46">
      <c r="A46" s="11" t="n"/>
      <c r="B46" s="10" t="n"/>
      <c r="C46" s="10" t="n"/>
      <c r="D46" s="15">
        <f>IF(C46="","",IFERROR(XLOOKUP(C46,tblProducts[Kod],tblProducts[Nomi]),"-"))</f>
        <v/>
      </c>
      <c r="E46" s="10" t="n"/>
      <c r="F46" s="13" t="n"/>
      <c r="G46" s="13" t="n"/>
      <c r="H46" s="12" t="n"/>
      <c r="I46" s="12" t="n"/>
      <c r="J46" s="14">
        <f>IF(OR(C46="",E46=""),"",IF(E46="KIRIM",IFERROR(F46*H46,0),IF(E46="CHIQIM",IFERROR(G46*I46,0),0)))</f>
        <v/>
      </c>
      <c r="K46" s="16">
        <f>IF(C46="","",IFERROR(N(F46)-N(G46),0))</f>
        <v/>
      </c>
      <c r="L46" s="14">
        <f>IF(C46="","",IF(E46="KIRIM",IFERROR(F46*H46,0),IF(E46="CHIQIM",-IFERROR(G46*H46,0),0)))</f>
        <v/>
      </c>
      <c r="M46" s="10" t="n"/>
    </row>
    <row r="47">
      <c r="A47" s="11" t="n"/>
      <c r="B47" s="10" t="n"/>
      <c r="C47" s="10" t="n"/>
      <c r="D47" s="15">
        <f>IF(C47="","",IFERROR(XLOOKUP(C47,tblProducts[Kod],tblProducts[Nomi]),"-"))</f>
        <v/>
      </c>
      <c r="E47" s="10" t="n"/>
      <c r="F47" s="13" t="n"/>
      <c r="G47" s="13" t="n"/>
      <c r="H47" s="12" t="n"/>
      <c r="I47" s="12" t="n"/>
      <c r="J47" s="14">
        <f>IF(OR(C47="",E47=""),"",IF(E47="KIRIM",IFERROR(F47*H47,0),IF(E47="CHIQIM",IFERROR(G47*I47,0),0)))</f>
        <v/>
      </c>
      <c r="K47" s="16">
        <f>IF(C47="","",IFERROR(N(F47)-N(G47),0))</f>
        <v/>
      </c>
      <c r="L47" s="14">
        <f>IF(C47="","",IF(E47="KIRIM",IFERROR(F47*H47,0),IF(E47="CHIQIM",-IFERROR(G47*H47,0),0)))</f>
        <v/>
      </c>
      <c r="M47" s="10" t="n"/>
    </row>
    <row r="48">
      <c r="A48" s="11" t="n"/>
      <c r="B48" s="10" t="n"/>
      <c r="C48" s="10" t="n"/>
      <c r="D48" s="15">
        <f>IF(C48="","",IFERROR(XLOOKUP(C48,tblProducts[Kod],tblProducts[Nomi]),"-"))</f>
        <v/>
      </c>
      <c r="E48" s="10" t="n"/>
      <c r="F48" s="13" t="n"/>
      <c r="G48" s="13" t="n"/>
      <c r="H48" s="12" t="n"/>
      <c r="I48" s="12" t="n"/>
      <c r="J48" s="14">
        <f>IF(OR(C48="",E48=""),"",IF(E48="KIRIM",IFERROR(F48*H48,0),IF(E48="CHIQIM",IFERROR(G48*I48,0),0)))</f>
        <v/>
      </c>
      <c r="K48" s="16">
        <f>IF(C48="","",IFERROR(N(F48)-N(G48),0))</f>
        <v/>
      </c>
      <c r="L48" s="14">
        <f>IF(C48="","",IF(E48="KIRIM",IFERROR(F48*H48,0),IF(E48="CHIQIM",-IFERROR(G48*H48,0),0)))</f>
        <v/>
      </c>
      <c r="M48" s="10" t="n"/>
    </row>
    <row r="49">
      <c r="A49" s="11" t="n"/>
      <c r="B49" s="10" t="n"/>
      <c r="C49" s="10" t="n"/>
      <c r="D49" s="15">
        <f>IF(C49="","",IFERROR(XLOOKUP(C49,tblProducts[Kod],tblProducts[Nomi]),"-"))</f>
        <v/>
      </c>
      <c r="E49" s="10" t="n"/>
      <c r="F49" s="13" t="n"/>
      <c r="G49" s="13" t="n"/>
      <c r="H49" s="12" t="n"/>
      <c r="I49" s="12" t="n"/>
      <c r="J49" s="14">
        <f>IF(OR(C49="",E49=""),"",IF(E49="KIRIM",IFERROR(F49*H49,0),IF(E49="CHIQIM",IFERROR(G49*I49,0),0)))</f>
        <v/>
      </c>
      <c r="K49" s="16">
        <f>IF(C49="","",IFERROR(N(F49)-N(G49),0))</f>
        <v/>
      </c>
      <c r="L49" s="14">
        <f>IF(C49="","",IF(E49="KIRIM",IFERROR(F49*H49,0),IF(E49="CHIQIM",-IFERROR(G49*H49,0),0)))</f>
        <v/>
      </c>
      <c r="M49" s="10" t="n"/>
    </row>
    <row r="50">
      <c r="A50" s="11" t="n"/>
      <c r="B50" s="10" t="n"/>
      <c r="C50" s="10" t="n"/>
      <c r="D50" s="15">
        <f>IF(C50="","",IFERROR(XLOOKUP(C50,tblProducts[Kod],tblProducts[Nomi]),"-"))</f>
        <v/>
      </c>
      <c r="E50" s="10" t="n"/>
      <c r="F50" s="13" t="n"/>
      <c r="G50" s="13" t="n"/>
      <c r="H50" s="12" t="n"/>
      <c r="I50" s="12" t="n"/>
      <c r="J50" s="14">
        <f>IF(OR(C50="",E50=""),"",IF(E50="KIRIM",IFERROR(F50*H50,0),IF(E50="CHIQIM",IFERROR(G50*I50,0),0)))</f>
        <v/>
      </c>
      <c r="K50" s="16">
        <f>IF(C50="","",IFERROR(N(F50)-N(G50),0))</f>
        <v/>
      </c>
      <c r="L50" s="14">
        <f>IF(C50="","",IF(E50="KIRIM",IFERROR(F50*H50,0),IF(E50="CHIQIM",-IFERROR(G50*H50,0),0)))</f>
        <v/>
      </c>
      <c r="M50" s="10" t="n"/>
    </row>
    <row r="51">
      <c r="A51" s="11" t="n"/>
      <c r="B51" s="10" t="n"/>
      <c r="C51" s="10" t="n"/>
      <c r="D51" s="15">
        <f>IF(C51="","",IFERROR(XLOOKUP(C51,tblProducts[Kod],tblProducts[Nomi]),"-"))</f>
        <v/>
      </c>
      <c r="E51" s="10" t="n"/>
      <c r="F51" s="13" t="n"/>
      <c r="G51" s="13" t="n"/>
      <c r="H51" s="12" t="n"/>
      <c r="I51" s="12" t="n"/>
      <c r="J51" s="14">
        <f>IF(OR(C51="",E51=""),"",IF(E51="KIRIM",IFERROR(F51*H51,0),IF(E51="CHIQIM",IFERROR(G51*I51,0),0)))</f>
        <v/>
      </c>
      <c r="K51" s="16">
        <f>IF(C51="","",IFERROR(N(F51)-N(G51),0))</f>
        <v/>
      </c>
      <c r="L51" s="14">
        <f>IF(C51="","",IF(E51="KIRIM",IFERROR(F51*H51,0),IF(E51="CHIQIM",-IFERROR(G51*H51,0),0)))</f>
        <v/>
      </c>
      <c r="M51" s="10" t="n"/>
    </row>
    <row r="52">
      <c r="A52" s="11" t="n"/>
      <c r="B52" s="10" t="n"/>
      <c r="C52" s="10" t="n"/>
      <c r="D52" s="15">
        <f>IF(C52="","",IFERROR(XLOOKUP(C52,tblProducts[Kod],tblProducts[Nomi]),"-"))</f>
        <v/>
      </c>
      <c r="E52" s="10" t="n"/>
      <c r="F52" s="13" t="n"/>
      <c r="G52" s="13" t="n"/>
      <c r="H52" s="12" t="n"/>
      <c r="I52" s="12" t="n"/>
      <c r="J52" s="14">
        <f>IF(OR(C52="",E52=""),"",IF(E52="KIRIM",IFERROR(F52*H52,0),IF(E52="CHIQIM",IFERROR(G52*I52,0),0)))</f>
        <v/>
      </c>
      <c r="K52" s="16">
        <f>IF(C52="","",IFERROR(N(F52)-N(G52),0))</f>
        <v/>
      </c>
      <c r="L52" s="14">
        <f>IF(C52="","",IF(E52="KIRIM",IFERROR(F52*H52,0),IF(E52="CHIQIM",-IFERROR(G52*H52,0),0)))</f>
        <v/>
      </c>
      <c r="M52" s="10" t="n"/>
    </row>
    <row r="53">
      <c r="A53" s="11" t="n"/>
      <c r="B53" s="10" t="n"/>
      <c r="C53" s="10" t="n"/>
      <c r="D53" s="15">
        <f>IF(C53="","",IFERROR(XLOOKUP(C53,tblProducts[Kod],tblProducts[Nomi]),"-"))</f>
        <v/>
      </c>
      <c r="E53" s="10" t="n"/>
      <c r="F53" s="13" t="n"/>
      <c r="G53" s="13" t="n"/>
      <c r="H53" s="12" t="n"/>
      <c r="I53" s="12" t="n"/>
      <c r="J53" s="14">
        <f>IF(OR(C53="",E53=""),"",IF(E53="KIRIM",IFERROR(F53*H53,0),IF(E53="CHIQIM",IFERROR(G53*I53,0),0)))</f>
        <v/>
      </c>
      <c r="K53" s="16">
        <f>IF(C53="","",IFERROR(N(F53)-N(G53),0))</f>
        <v/>
      </c>
      <c r="L53" s="14">
        <f>IF(C53="","",IF(E53="KIRIM",IFERROR(F53*H53,0),IF(E53="CHIQIM",-IFERROR(G53*H53,0),0)))</f>
        <v/>
      </c>
      <c r="M53" s="10" t="n"/>
    </row>
    <row r="54">
      <c r="A54" s="11" t="n"/>
      <c r="B54" s="10" t="n"/>
      <c r="C54" s="10" t="n"/>
      <c r="D54" s="15">
        <f>IF(C54="","",IFERROR(XLOOKUP(C54,tblProducts[Kod],tblProducts[Nomi]),"-"))</f>
        <v/>
      </c>
      <c r="E54" s="10" t="n"/>
      <c r="F54" s="13" t="n"/>
      <c r="G54" s="13" t="n"/>
      <c r="H54" s="12" t="n"/>
      <c r="I54" s="12" t="n"/>
      <c r="J54" s="14">
        <f>IF(OR(C54="",E54=""),"",IF(E54="KIRIM",IFERROR(F54*H54,0),IF(E54="CHIQIM",IFERROR(G54*I54,0),0)))</f>
        <v/>
      </c>
      <c r="K54" s="16">
        <f>IF(C54="","",IFERROR(N(F54)-N(G54),0))</f>
        <v/>
      </c>
      <c r="L54" s="14">
        <f>IF(C54="","",IF(E54="KIRIM",IFERROR(F54*H54,0),IF(E54="CHIQIM",-IFERROR(G54*H54,0),0)))</f>
        <v/>
      </c>
      <c r="M54" s="10" t="n"/>
    </row>
    <row r="56">
      <c r="A56" s="6" t="inlineStr">
        <is>
          <t>Davr jami (kirim summa / chiqim summa / net qiymat):</t>
        </is>
      </c>
      <c r="B56" s="17">
        <f>SUMIFS(tblMovements[Summa_UZS],tblMovements[Turi],"KIRIM",tblMovements[Sana],"&gt;="&amp;PeriodStart,tblMovements[Sana],"&lt;="&amp;PeriodEnd)</f>
        <v/>
      </c>
      <c r="C56" s="17">
        <f>SUMIFS(tblMovements[Summa_UZS],tblMovements[Turi],"CHIQIM",tblMovements[Sana],"&gt;="&amp;PeriodStart,tblMovements[Sana],"&lt;="&amp;PeriodEnd)</f>
        <v/>
      </c>
      <c r="D56" s="17">
        <f>SUMIFS(tblMovements[Harakat_qiymati],tblMovements[Sana],"&gt;="&amp;PeriodStart,tblMovements[Sana],"&lt;="&amp;PeriodEnd)</f>
        <v/>
      </c>
    </row>
  </sheetData>
  <dataValidations count="1">
    <dataValidation sqref="E5:E104" showDropDown="0" showInputMessage="0" showErrorMessage="0" allowBlank="1" type="list">
      <formula1>"KIRIM,CHIQIM"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30" customWidth="1" min="4" max="4"/>
    <col width="10" customWidth="1" min="5" max="5"/>
    <col width="13" customWidth="1" min="6" max="6"/>
    <col width="10" customWidth="1" min="7" max="7"/>
    <col width="24" customWidth="1" min="8" max="8"/>
    <col width="24" customWidth="1" min="9" max="9"/>
    <col width="30" customWidth="1" min="10" max="10"/>
    <col width="24" customWidth="1" min="11" max="11"/>
    <col width="24" customWidth="1" min="12" max="12"/>
    <col width="30" customWidth="1" min="13" max="13"/>
    <col width="10" customWidth="1" min="14" max="14"/>
    <col width="10" customWidth="1" min="15" max="15"/>
    <col width="30" customWidth="1" min="16" max="16"/>
    <col width="10" customWidth="1" min="17" max="17"/>
  </cols>
  <sheetData>
    <row r="1">
      <c r="A1" s="1" t="inlineStr">
        <is>
          <t>Sotuv hisoboti - qatorlar (Sales lines)</t>
        </is>
      </c>
    </row>
    <row r="2">
      <c r="A2" s="2" t="inlineStr">
        <is>
          <t>Brutto = qty×price; Chegirma alohida; Net = Brutto-Chegirma; COGS = qty×unit_cost; Gross profit = Net-COGS. USD bo'lsa UZS_eq = Net×FX.</t>
        </is>
      </c>
    </row>
    <row r="3"/>
    <row r="4" ht="32" customHeight="1">
      <c r="A4" s="9" t="inlineStr">
        <is>
          <t>Sana</t>
        </is>
      </c>
      <c r="B4" s="9" t="inlineStr">
        <is>
          <t>Chek_N</t>
        </is>
      </c>
      <c r="C4" s="9" t="inlineStr">
        <is>
          <t>Mahsulot_kod</t>
        </is>
      </c>
      <c r="D4" s="9" t="inlineStr">
        <is>
          <t>Mahsulot_nomi</t>
        </is>
      </c>
      <c r="E4" s="9" t="inlineStr">
        <is>
          <t>Miqdor</t>
        </is>
      </c>
      <c r="F4" s="9" t="inlineStr">
        <is>
          <t>Birlik_narx</t>
        </is>
      </c>
      <c r="G4" s="9" t="inlineStr">
        <is>
          <t>Chegirma</t>
        </is>
      </c>
      <c r="H4" s="9" t="inlineStr">
        <is>
          <t>Brutto</t>
        </is>
      </c>
      <c r="I4" s="9" t="inlineStr">
        <is>
          <t>Net_tushum</t>
        </is>
      </c>
      <c r="J4" s="9" t="inlineStr">
        <is>
          <t>Birlik_tannarx</t>
        </is>
      </c>
      <c r="K4" s="9" t="inlineStr">
        <is>
          <t>COGS</t>
        </is>
      </c>
      <c r="L4" s="9" t="inlineStr">
        <is>
          <t>Gross_foyda</t>
        </is>
      </c>
      <c r="M4" s="9" t="inlineStr">
        <is>
          <t>Margin_%</t>
        </is>
      </c>
      <c r="N4" s="9" t="inlineStr">
        <is>
          <t>Valyuta</t>
        </is>
      </c>
      <c r="O4" s="9" t="inlineStr">
        <is>
          <t>FX_rate</t>
        </is>
      </c>
      <c r="P4" s="9" t="inlineStr">
        <is>
          <t>UZS_eq</t>
        </is>
      </c>
      <c r="Q4" s="9" t="inlineStr">
        <is>
          <t>Kanal</t>
        </is>
      </c>
    </row>
    <row r="5">
      <c r="A5" s="11" t="n">
        <v>46235</v>
      </c>
      <c r="B5" s="10" t="inlineStr">
        <is>
          <t>S-1001</t>
        </is>
      </c>
      <c r="C5" s="10" t="inlineStr">
        <is>
          <t>PRD-001</t>
        </is>
      </c>
      <c r="D5" s="15">
        <f>IF(C5="","",IFERROR(XLOOKUP(C5,tblProducts[Kod],tblProducts[Nomi]),"-"))</f>
        <v/>
      </c>
      <c r="E5" s="13" t="n">
        <v>12</v>
      </c>
      <c r="F5" s="12" t="n">
        <v>10000</v>
      </c>
      <c r="G5" s="12" t="n">
        <v>0</v>
      </c>
      <c r="H5" s="14">
        <f>E5*F5</f>
        <v/>
      </c>
      <c r="I5" s="14">
        <f>H5-G5</f>
        <v/>
      </c>
      <c r="J5" s="12" t="n">
        <v>8000</v>
      </c>
      <c r="K5" s="14">
        <f>E5*J5</f>
        <v/>
      </c>
      <c r="L5" s="14">
        <f>I5-K5</f>
        <v/>
      </c>
      <c r="M5" s="18">
        <f>IFERROR(L5/I5,0)</f>
        <v/>
      </c>
      <c r="N5" s="10" t="inlineStr">
        <is>
          <t>UZS</t>
        </is>
      </c>
      <c r="O5" s="10" t="n">
        <v>1</v>
      </c>
      <c r="P5" s="14">
        <f>IF(N5="USD",I5*IF(O5="",DefaultFX,O5),I5)</f>
        <v/>
      </c>
      <c r="Q5" s="10" t="inlineStr">
        <is>
          <t>POS</t>
        </is>
      </c>
    </row>
    <row r="6">
      <c r="A6" s="11" t="n">
        <v>46235</v>
      </c>
      <c r="B6" s="10" t="inlineStr">
        <is>
          <t>S-1001</t>
        </is>
      </c>
      <c r="C6" s="10" t="inlineStr">
        <is>
          <t>PRD-003</t>
        </is>
      </c>
      <c r="D6" s="15">
        <f>IF(C6="","",IFERROR(XLOOKUP(C6,tblProducts[Kod],tblProducts[Nomi]),"-"))</f>
        <v/>
      </c>
      <c r="E6" s="13" t="n">
        <v>5</v>
      </c>
      <c r="F6" s="12" t="n">
        <v>5000</v>
      </c>
      <c r="G6" s="12" t="n">
        <v>1000</v>
      </c>
      <c r="H6" s="14">
        <f>E6*F6</f>
        <v/>
      </c>
      <c r="I6" s="14">
        <f>H6-G6</f>
        <v/>
      </c>
      <c r="J6" s="12" t="n">
        <v>3500</v>
      </c>
      <c r="K6" s="14">
        <f>E6*J6</f>
        <v/>
      </c>
      <c r="L6" s="14">
        <f>I6-K6</f>
        <v/>
      </c>
      <c r="M6" s="18">
        <f>IFERROR(L6/I6,0)</f>
        <v/>
      </c>
      <c r="N6" s="10" t="inlineStr">
        <is>
          <t>UZS</t>
        </is>
      </c>
      <c r="O6" s="10" t="n">
        <v>1</v>
      </c>
      <c r="P6" s="14">
        <f>IF(N6="USD",I6*IF(O6="",DefaultFX,O6),I6)</f>
        <v/>
      </c>
      <c r="Q6" s="10" t="inlineStr">
        <is>
          <t>POS</t>
        </is>
      </c>
    </row>
    <row r="7">
      <c r="A7" s="11" t="n">
        <v>46236</v>
      </c>
      <c r="B7" s="10" t="inlineStr">
        <is>
          <t>S-1002</t>
        </is>
      </c>
      <c r="C7" s="10" t="inlineStr">
        <is>
          <t>PRD-002</t>
        </is>
      </c>
      <c r="D7" s="15">
        <f>IF(C7="","",IFERROR(XLOOKUP(C7,tblProducts[Kod],tblProducts[Nomi]),"-"))</f>
        <v/>
      </c>
      <c r="E7" s="13" t="n">
        <v>5</v>
      </c>
      <c r="F7" s="12" t="n">
        <v>22000</v>
      </c>
      <c r="G7" s="12" t="n">
        <v>0</v>
      </c>
      <c r="H7" s="14">
        <f>E7*F7</f>
        <v/>
      </c>
      <c r="I7" s="14">
        <f>H7-G7</f>
        <v/>
      </c>
      <c r="J7" s="12" t="n">
        <v>18000</v>
      </c>
      <c r="K7" s="14">
        <f>E7*J7</f>
        <v/>
      </c>
      <c r="L7" s="14">
        <f>I7-K7</f>
        <v/>
      </c>
      <c r="M7" s="18">
        <f>IFERROR(L7/I7,0)</f>
        <v/>
      </c>
      <c r="N7" s="10" t="inlineStr">
        <is>
          <t>UZS</t>
        </is>
      </c>
      <c r="O7" s="10" t="n">
        <v>1</v>
      </c>
      <c r="P7" s="14">
        <f>IF(N7="USD",I7*IF(O7="",DefaultFX,O7),I7)</f>
        <v/>
      </c>
      <c r="Q7" s="10" t="inlineStr">
        <is>
          <t>POS</t>
        </is>
      </c>
    </row>
    <row r="8">
      <c r="A8" s="11" t="n">
        <v>46239</v>
      </c>
      <c r="B8" s="10" t="inlineStr">
        <is>
          <t>S-1003</t>
        </is>
      </c>
      <c r="C8" s="10" t="inlineStr">
        <is>
          <t>PRD-001</t>
        </is>
      </c>
      <c r="D8" s="15">
        <f>IF(C8="","",IFERROR(XLOOKUP(C8,tblProducts[Kod],tblProducts[Nomi]),"-"))</f>
        <v/>
      </c>
      <c r="E8" s="13" t="n">
        <v>8</v>
      </c>
      <c r="F8" s="12" t="n">
        <v>10000</v>
      </c>
      <c r="G8" s="12" t="n">
        <v>2000</v>
      </c>
      <c r="H8" s="14">
        <f>E8*F8</f>
        <v/>
      </c>
      <c r="I8" s="14">
        <f>H8-G8</f>
        <v/>
      </c>
      <c r="J8" s="12" t="n">
        <v>8000</v>
      </c>
      <c r="K8" s="14">
        <f>E8*J8</f>
        <v/>
      </c>
      <c r="L8" s="14">
        <f>I8-K8</f>
        <v/>
      </c>
      <c r="M8" s="18">
        <f>IFERROR(L8/I8,0)</f>
        <v/>
      </c>
      <c r="N8" s="10" t="inlineStr">
        <is>
          <t>UZS</t>
        </is>
      </c>
      <c r="O8" s="10" t="n">
        <v>1</v>
      </c>
      <c r="P8" s="14">
        <f>IF(N8="USD",I8*IF(O8="",DefaultFX,O8),I8)</f>
        <v/>
      </c>
      <c r="Q8" s="10" t="inlineStr">
        <is>
          <t>POS</t>
        </is>
      </c>
    </row>
    <row r="9">
      <c r="A9" s="11" t="n">
        <v>46241</v>
      </c>
      <c r="B9" s="10" t="inlineStr">
        <is>
          <t>S-1004</t>
        </is>
      </c>
      <c r="C9" s="10" t="inlineStr">
        <is>
          <t>PRD-004</t>
        </is>
      </c>
      <c r="D9" s="15">
        <f>IF(C9="","",IFERROR(XLOOKUP(C9,tblProducts[Kod],tblProducts[Nomi]),"-"))</f>
        <v/>
      </c>
      <c r="E9" s="13" t="n">
        <v>6</v>
      </c>
      <c r="F9" s="12" t="n">
        <v>15000</v>
      </c>
      <c r="G9" s="12" t="n">
        <v>0</v>
      </c>
      <c r="H9" s="14">
        <f>E9*F9</f>
        <v/>
      </c>
      <c r="I9" s="14">
        <f>H9-G9</f>
        <v/>
      </c>
      <c r="J9" s="12" t="n">
        <v>12000</v>
      </c>
      <c r="K9" s="14">
        <f>E9*J9</f>
        <v/>
      </c>
      <c r="L9" s="14">
        <f>I9-K9</f>
        <v/>
      </c>
      <c r="M9" s="18">
        <f>IFERROR(L9/I9,0)</f>
        <v/>
      </c>
      <c r="N9" s="10" t="inlineStr">
        <is>
          <t>UZS</t>
        </is>
      </c>
      <c r="O9" s="10" t="n">
        <v>1</v>
      </c>
      <c r="P9" s="14">
        <f>IF(N9="USD",I9*IF(O9="",DefaultFX,O9),I9)</f>
        <v/>
      </c>
      <c r="Q9" s="10" t="inlineStr">
        <is>
          <t>Web</t>
        </is>
      </c>
    </row>
    <row r="10">
      <c r="A10" s="11" t="n">
        <v>46244</v>
      </c>
      <c r="B10" s="10" t="inlineStr">
        <is>
          <t>S-1005</t>
        </is>
      </c>
      <c r="C10" s="10" t="inlineStr">
        <is>
          <t>PRD-005</t>
        </is>
      </c>
      <c r="D10" s="15">
        <f>IF(C10="","",IFERROR(XLOOKUP(C10,tblProducts[Kod],tblProducts[Nomi]),"-"))</f>
        <v/>
      </c>
      <c r="E10" s="13" t="n">
        <v>15</v>
      </c>
      <c r="F10" s="12" t="n">
        <v>11000</v>
      </c>
      <c r="G10" s="12" t="n">
        <v>5000</v>
      </c>
      <c r="H10" s="14">
        <f>E10*F10</f>
        <v/>
      </c>
      <c r="I10" s="14">
        <f>H10-G10</f>
        <v/>
      </c>
      <c r="J10" s="12" t="n">
        <v>9000</v>
      </c>
      <c r="K10" s="14">
        <f>E10*J10</f>
        <v/>
      </c>
      <c r="L10" s="14">
        <f>I10-K10</f>
        <v/>
      </c>
      <c r="M10" s="18">
        <f>IFERROR(L10/I10,0)</f>
        <v/>
      </c>
      <c r="N10" s="10" t="inlineStr">
        <is>
          <t>UZS</t>
        </is>
      </c>
      <c r="O10" s="10" t="n">
        <v>1</v>
      </c>
      <c r="P10" s="14">
        <f>IF(N10="USD",I10*IF(O10="",DefaultFX,O10),I10)</f>
        <v/>
      </c>
      <c r="Q10" s="10" t="inlineStr">
        <is>
          <t>POS</t>
        </is>
      </c>
    </row>
    <row r="11">
      <c r="A11" s="11" t="n">
        <v>46246</v>
      </c>
      <c r="B11" s="10" t="inlineStr">
        <is>
          <t>S-1006</t>
        </is>
      </c>
      <c r="C11" s="10" t="inlineStr">
        <is>
          <t>PRD-002</t>
        </is>
      </c>
      <c r="D11" s="15">
        <f>IF(C11="","",IFERROR(XLOOKUP(C11,tblProducts[Kod],tblProducts[Nomi]),"-"))</f>
        <v/>
      </c>
      <c r="E11" s="13" t="n">
        <v>3</v>
      </c>
      <c r="F11" s="12" t="n">
        <v>18</v>
      </c>
      <c r="G11" s="12" t="n">
        <v>0</v>
      </c>
      <c r="H11" s="14">
        <f>E11*F11</f>
        <v/>
      </c>
      <c r="I11" s="14">
        <f>H11-G11</f>
        <v/>
      </c>
      <c r="J11" s="12" t="n">
        <v>1.44</v>
      </c>
      <c r="K11" s="14">
        <f>E11*J11</f>
        <v/>
      </c>
      <c r="L11" s="14">
        <f>I11-K11</f>
        <v/>
      </c>
      <c r="M11" s="18">
        <f>IFERROR(L11/I11,0)</f>
        <v/>
      </c>
      <c r="N11" s="10" t="inlineStr">
        <is>
          <t>USD</t>
        </is>
      </c>
      <c r="O11" s="10" t="n">
        <v>12500</v>
      </c>
      <c r="P11" s="14">
        <f>IF(N11="USD",I11*IF(O11="",DefaultFX,O11),I11)</f>
        <v/>
      </c>
      <c r="Q11" s="10" t="inlineStr">
        <is>
          <t>POS</t>
        </is>
      </c>
    </row>
    <row r="12">
      <c r="A12" s="11" t="n">
        <v>46249</v>
      </c>
      <c r="B12" s="10" t="inlineStr">
        <is>
          <t>S-1007</t>
        </is>
      </c>
      <c r="C12" s="10" t="inlineStr">
        <is>
          <t>PRD-003</t>
        </is>
      </c>
      <c r="D12" s="15">
        <f>IF(C12="","",IFERROR(XLOOKUP(C12,tblProducts[Kod],tblProducts[Nomi]),"-"))</f>
        <v/>
      </c>
      <c r="E12" s="13" t="n">
        <v>20</v>
      </c>
      <c r="F12" s="12" t="n">
        <v>5000</v>
      </c>
      <c r="G12" s="12" t="n">
        <v>4000</v>
      </c>
      <c r="H12" s="14">
        <f>E12*F12</f>
        <v/>
      </c>
      <c r="I12" s="14">
        <f>H12-G12</f>
        <v/>
      </c>
      <c r="J12" s="12" t="n">
        <v>3500</v>
      </c>
      <c r="K12" s="14">
        <f>E12*J12</f>
        <v/>
      </c>
      <c r="L12" s="14">
        <f>I12-K12</f>
        <v/>
      </c>
      <c r="M12" s="18">
        <f>IFERROR(L12/I12,0)</f>
        <v/>
      </c>
      <c r="N12" s="10" t="inlineStr">
        <is>
          <t>UZS</t>
        </is>
      </c>
      <c r="O12" s="10" t="n">
        <v>1</v>
      </c>
      <c r="P12" s="14">
        <f>IF(N12="USD",I12*IF(O12="",DefaultFX,O12),I12)</f>
        <v/>
      </c>
      <c r="Q12" s="10" t="inlineStr">
        <is>
          <t>POS</t>
        </is>
      </c>
    </row>
    <row r="13">
      <c r="A13" s="11" t="n">
        <v>46252</v>
      </c>
      <c r="B13" s="10" t="inlineStr">
        <is>
          <t>S-1008</t>
        </is>
      </c>
      <c r="C13" s="10" t="inlineStr">
        <is>
          <t>PRD-001</t>
        </is>
      </c>
      <c r="D13" s="15">
        <f>IF(C13="","",IFERROR(XLOOKUP(C13,tblProducts[Kod],tblProducts[Nomi]),"-"))</f>
        <v/>
      </c>
      <c r="E13" s="13" t="n">
        <v>10</v>
      </c>
      <c r="F13" s="12" t="n">
        <v>10000</v>
      </c>
      <c r="G13" s="12" t="n">
        <v>0</v>
      </c>
      <c r="H13" s="14">
        <f>E13*F13</f>
        <v/>
      </c>
      <c r="I13" s="14">
        <f>H13-G13</f>
        <v/>
      </c>
      <c r="J13" s="12" t="n">
        <v>8000</v>
      </c>
      <c r="K13" s="14">
        <f>E13*J13</f>
        <v/>
      </c>
      <c r="L13" s="14">
        <f>I13-K13</f>
        <v/>
      </c>
      <c r="M13" s="18">
        <f>IFERROR(L13/I13,0)</f>
        <v/>
      </c>
      <c r="N13" s="10" t="inlineStr">
        <is>
          <t>UZS</t>
        </is>
      </c>
      <c r="O13" s="10" t="n">
        <v>1</v>
      </c>
      <c r="P13" s="14">
        <f>IF(N13="USD",I13*IF(O13="",DefaultFX,O13),I13)</f>
        <v/>
      </c>
      <c r="Q13" s="10" t="inlineStr">
        <is>
          <t>POS</t>
        </is>
      </c>
    </row>
    <row r="14">
      <c r="A14" s="11" t="n">
        <v>46254</v>
      </c>
      <c r="B14" s="10" t="inlineStr">
        <is>
          <t>S-1009</t>
        </is>
      </c>
      <c r="C14" s="10" t="inlineStr">
        <is>
          <t>PRD-005</t>
        </is>
      </c>
      <c r="D14" s="15">
        <f>IF(C14="","",IFERROR(XLOOKUP(C14,tblProducts[Kod],tblProducts[Nomi]),"-"))</f>
        <v/>
      </c>
      <c r="E14" s="13" t="n">
        <v>7</v>
      </c>
      <c r="F14" s="12" t="n">
        <v>11000</v>
      </c>
      <c r="G14" s="12" t="n">
        <v>0</v>
      </c>
      <c r="H14" s="14">
        <f>E14*F14</f>
        <v/>
      </c>
      <c r="I14" s="14">
        <f>H14-G14</f>
        <v/>
      </c>
      <c r="J14" s="12" t="n">
        <v>9000</v>
      </c>
      <c r="K14" s="14">
        <f>E14*J14</f>
        <v/>
      </c>
      <c r="L14" s="14">
        <f>I14-K14</f>
        <v/>
      </c>
      <c r="M14" s="18">
        <f>IFERROR(L14/I14,0)</f>
        <v/>
      </c>
      <c r="N14" s="10" t="inlineStr">
        <is>
          <t>UZS</t>
        </is>
      </c>
      <c r="O14" s="10" t="n">
        <v>1</v>
      </c>
      <c r="P14" s="14">
        <f>IF(N14="USD",I14*IF(O14="",DefaultFX,O14),I14)</f>
        <v/>
      </c>
      <c r="Q14" s="10" t="inlineStr">
        <is>
          <t>POS</t>
        </is>
      </c>
    </row>
    <row r="15">
      <c r="A15" s="11" t="n"/>
      <c r="B15" s="10" t="n"/>
      <c r="C15" s="10" t="n"/>
      <c r="D15" s="15">
        <f>IF(C15="","",IFERROR(XLOOKUP(C15,tblProducts[Kod],tblProducts[Nomi]),"-"))</f>
        <v/>
      </c>
      <c r="E15" s="13" t="n"/>
      <c r="F15" s="12" t="n"/>
      <c r="G15" s="12" t="n"/>
      <c r="H15" s="14">
        <f>IF(E15="","",E15*F15)</f>
        <v/>
      </c>
      <c r="I15" s="14">
        <f>IF(E15="","",H15-G15)</f>
        <v/>
      </c>
      <c r="J15" s="12">
        <f>IF(C15="","",IFERROR(XLOOKUP(C15,tblProducts[Kod],tblProducts[Boshlangich_tannarx]),0))</f>
        <v/>
      </c>
      <c r="K15" s="14">
        <f>IF(E15="","",E15*J15)</f>
        <v/>
      </c>
      <c r="L15" s="14">
        <f>IF(E15="","",I15-K15)</f>
        <v/>
      </c>
      <c r="M15" s="18">
        <f>IF(OR(E15="",I15=0),"",IFERROR(L15/I15,0))</f>
        <v/>
      </c>
      <c r="N15" s="10" t="n"/>
      <c r="O15" s="10" t="n"/>
      <c r="P15" s="14">
        <f>IF(E15="","",IF(N15="USD",I15*IF(O15="",DefaultFX,O15),I15))</f>
        <v/>
      </c>
      <c r="Q15" s="10" t="n"/>
    </row>
    <row r="16">
      <c r="A16" s="11" t="n"/>
      <c r="B16" s="10" t="n"/>
      <c r="C16" s="10" t="n"/>
      <c r="D16" s="15">
        <f>IF(C16="","",IFERROR(XLOOKUP(C16,tblProducts[Kod],tblProducts[Nomi]),"-"))</f>
        <v/>
      </c>
      <c r="E16" s="13" t="n"/>
      <c r="F16" s="12" t="n"/>
      <c r="G16" s="12" t="n"/>
      <c r="H16" s="14">
        <f>IF(E16="","",E16*F16)</f>
        <v/>
      </c>
      <c r="I16" s="14">
        <f>IF(E16="","",H16-G16)</f>
        <v/>
      </c>
      <c r="J16" s="12">
        <f>IF(C16="","",IFERROR(XLOOKUP(C16,tblProducts[Kod],tblProducts[Boshlangich_tannarx]),0))</f>
        <v/>
      </c>
      <c r="K16" s="14">
        <f>IF(E16="","",E16*J16)</f>
        <v/>
      </c>
      <c r="L16" s="14">
        <f>IF(E16="","",I16-K16)</f>
        <v/>
      </c>
      <c r="M16" s="18">
        <f>IF(OR(E16="",I16=0),"",IFERROR(L16/I16,0))</f>
        <v/>
      </c>
      <c r="N16" s="10" t="n"/>
      <c r="O16" s="10" t="n"/>
      <c r="P16" s="14">
        <f>IF(E16="","",IF(N16="USD",I16*IF(O16="",DefaultFX,O16),I16))</f>
        <v/>
      </c>
      <c r="Q16" s="10" t="n"/>
    </row>
    <row r="17">
      <c r="A17" s="11" t="n"/>
      <c r="B17" s="10" t="n"/>
      <c r="C17" s="10" t="n"/>
      <c r="D17" s="15">
        <f>IF(C17="","",IFERROR(XLOOKUP(C17,tblProducts[Kod],tblProducts[Nomi]),"-"))</f>
        <v/>
      </c>
      <c r="E17" s="13" t="n"/>
      <c r="F17" s="12" t="n"/>
      <c r="G17" s="12" t="n"/>
      <c r="H17" s="14">
        <f>IF(E17="","",E17*F17)</f>
        <v/>
      </c>
      <c r="I17" s="14">
        <f>IF(E17="","",H17-G17)</f>
        <v/>
      </c>
      <c r="J17" s="12">
        <f>IF(C17="","",IFERROR(XLOOKUP(C17,tblProducts[Kod],tblProducts[Boshlangich_tannarx]),0))</f>
        <v/>
      </c>
      <c r="K17" s="14">
        <f>IF(E17="","",E17*J17)</f>
        <v/>
      </c>
      <c r="L17" s="14">
        <f>IF(E17="","",I17-K17)</f>
        <v/>
      </c>
      <c r="M17" s="18">
        <f>IF(OR(E17="",I17=0),"",IFERROR(L17/I17,0))</f>
        <v/>
      </c>
      <c r="N17" s="10" t="n"/>
      <c r="O17" s="10" t="n"/>
      <c r="P17" s="14">
        <f>IF(E17="","",IF(N17="USD",I17*IF(O17="",DefaultFX,O17),I17))</f>
        <v/>
      </c>
      <c r="Q17" s="10" t="n"/>
    </row>
    <row r="18">
      <c r="A18" s="11" t="n"/>
      <c r="B18" s="10" t="n"/>
      <c r="C18" s="10" t="n"/>
      <c r="D18" s="15">
        <f>IF(C18="","",IFERROR(XLOOKUP(C18,tblProducts[Kod],tblProducts[Nomi]),"-"))</f>
        <v/>
      </c>
      <c r="E18" s="13" t="n"/>
      <c r="F18" s="12" t="n"/>
      <c r="G18" s="12" t="n"/>
      <c r="H18" s="14">
        <f>IF(E18="","",E18*F18)</f>
        <v/>
      </c>
      <c r="I18" s="14">
        <f>IF(E18="","",H18-G18)</f>
        <v/>
      </c>
      <c r="J18" s="12">
        <f>IF(C18="","",IFERROR(XLOOKUP(C18,tblProducts[Kod],tblProducts[Boshlangich_tannarx]),0))</f>
        <v/>
      </c>
      <c r="K18" s="14">
        <f>IF(E18="","",E18*J18)</f>
        <v/>
      </c>
      <c r="L18" s="14">
        <f>IF(E18="","",I18-K18)</f>
        <v/>
      </c>
      <c r="M18" s="18">
        <f>IF(OR(E18="",I18=0),"",IFERROR(L18/I18,0))</f>
        <v/>
      </c>
      <c r="N18" s="10" t="n"/>
      <c r="O18" s="10" t="n"/>
      <c r="P18" s="14">
        <f>IF(E18="","",IF(N18="USD",I18*IF(O18="",DefaultFX,O18),I18))</f>
        <v/>
      </c>
      <c r="Q18" s="10" t="n"/>
    </row>
    <row r="19">
      <c r="A19" s="11" t="n"/>
      <c r="B19" s="10" t="n"/>
      <c r="C19" s="10" t="n"/>
      <c r="D19" s="15">
        <f>IF(C19="","",IFERROR(XLOOKUP(C19,tblProducts[Kod],tblProducts[Nomi]),"-"))</f>
        <v/>
      </c>
      <c r="E19" s="13" t="n"/>
      <c r="F19" s="12" t="n"/>
      <c r="G19" s="12" t="n"/>
      <c r="H19" s="14">
        <f>IF(E19="","",E19*F19)</f>
        <v/>
      </c>
      <c r="I19" s="14">
        <f>IF(E19="","",H19-G19)</f>
        <v/>
      </c>
      <c r="J19" s="12">
        <f>IF(C19="","",IFERROR(XLOOKUP(C19,tblProducts[Kod],tblProducts[Boshlangich_tannarx]),0))</f>
        <v/>
      </c>
      <c r="K19" s="14">
        <f>IF(E19="","",E19*J19)</f>
        <v/>
      </c>
      <c r="L19" s="14">
        <f>IF(E19="","",I19-K19)</f>
        <v/>
      </c>
      <c r="M19" s="18">
        <f>IF(OR(E19="",I19=0),"",IFERROR(L19/I19,0))</f>
        <v/>
      </c>
      <c r="N19" s="10" t="n"/>
      <c r="O19" s="10" t="n"/>
      <c r="P19" s="14">
        <f>IF(E19="","",IF(N19="USD",I19*IF(O19="",DefaultFX,O19),I19))</f>
        <v/>
      </c>
      <c r="Q19" s="10" t="n"/>
    </row>
    <row r="20">
      <c r="A20" s="11" t="n"/>
      <c r="B20" s="10" t="n"/>
      <c r="C20" s="10" t="n"/>
      <c r="D20" s="15">
        <f>IF(C20="","",IFERROR(XLOOKUP(C20,tblProducts[Kod],tblProducts[Nomi]),"-"))</f>
        <v/>
      </c>
      <c r="E20" s="13" t="n"/>
      <c r="F20" s="12" t="n"/>
      <c r="G20" s="12" t="n"/>
      <c r="H20" s="14">
        <f>IF(E20="","",E20*F20)</f>
        <v/>
      </c>
      <c r="I20" s="14">
        <f>IF(E20="","",H20-G20)</f>
        <v/>
      </c>
      <c r="J20" s="12">
        <f>IF(C20="","",IFERROR(XLOOKUP(C20,tblProducts[Kod],tblProducts[Boshlangich_tannarx]),0))</f>
        <v/>
      </c>
      <c r="K20" s="14">
        <f>IF(E20="","",E20*J20)</f>
        <v/>
      </c>
      <c r="L20" s="14">
        <f>IF(E20="","",I20-K20)</f>
        <v/>
      </c>
      <c r="M20" s="18">
        <f>IF(OR(E20="",I20=0),"",IFERROR(L20/I20,0))</f>
        <v/>
      </c>
      <c r="N20" s="10" t="n"/>
      <c r="O20" s="10" t="n"/>
      <c r="P20" s="14">
        <f>IF(E20="","",IF(N20="USD",I20*IF(O20="",DefaultFX,O20),I20))</f>
        <v/>
      </c>
      <c r="Q20" s="10" t="n"/>
    </row>
    <row r="21">
      <c r="A21" s="11" t="n"/>
      <c r="B21" s="10" t="n"/>
      <c r="C21" s="10" t="n"/>
      <c r="D21" s="15">
        <f>IF(C21="","",IFERROR(XLOOKUP(C21,tblProducts[Kod],tblProducts[Nomi]),"-"))</f>
        <v/>
      </c>
      <c r="E21" s="13" t="n"/>
      <c r="F21" s="12" t="n"/>
      <c r="G21" s="12" t="n"/>
      <c r="H21" s="14">
        <f>IF(E21="","",E21*F21)</f>
        <v/>
      </c>
      <c r="I21" s="14">
        <f>IF(E21="","",H21-G21)</f>
        <v/>
      </c>
      <c r="J21" s="12">
        <f>IF(C21="","",IFERROR(XLOOKUP(C21,tblProducts[Kod],tblProducts[Boshlangich_tannarx]),0))</f>
        <v/>
      </c>
      <c r="K21" s="14">
        <f>IF(E21="","",E21*J21)</f>
        <v/>
      </c>
      <c r="L21" s="14">
        <f>IF(E21="","",I21-K21)</f>
        <v/>
      </c>
      <c r="M21" s="18">
        <f>IF(OR(E21="",I21=0),"",IFERROR(L21/I21,0))</f>
        <v/>
      </c>
      <c r="N21" s="10" t="n"/>
      <c r="O21" s="10" t="n"/>
      <c r="P21" s="14">
        <f>IF(E21="","",IF(N21="USD",I21*IF(O21="",DefaultFX,O21),I21))</f>
        <v/>
      </c>
      <c r="Q21" s="10" t="n"/>
    </row>
    <row r="22">
      <c r="A22" s="11" t="n"/>
      <c r="B22" s="10" t="n"/>
      <c r="C22" s="10" t="n"/>
      <c r="D22" s="15">
        <f>IF(C22="","",IFERROR(XLOOKUP(C22,tblProducts[Kod],tblProducts[Nomi]),"-"))</f>
        <v/>
      </c>
      <c r="E22" s="13" t="n"/>
      <c r="F22" s="12" t="n"/>
      <c r="G22" s="12" t="n"/>
      <c r="H22" s="14">
        <f>IF(E22="","",E22*F22)</f>
        <v/>
      </c>
      <c r="I22" s="14">
        <f>IF(E22="","",H22-G22)</f>
        <v/>
      </c>
      <c r="J22" s="12">
        <f>IF(C22="","",IFERROR(XLOOKUP(C22,tblProducts[Kod],tblProducts[Boshlangich_tannarx]),0))</f>
        <v/>
      </c>
      <c r="K22" s="14">
        <f>IF(E22="","",E22*J22)</f>
        <v/>
      </c>
      <c r="L22" s="14">
        <f>IF(E22="","",I22-K22)</f>
        <v/>
      </c>
      <c r="M22" s="18">
        <f>IF(OR(E22="",I22=0),"",IFERROR(L22/I22,0))</f>
        <v/>
      </c>
      <c r="N22" s="10" t="n"/>
      <c r="O22" s="10" t="n"/>
      <c r="P22" s="14">
        <f>IF(E22="","",IF(N22="USD",I22*IF(O22="",DefaultFX,O22),I22))</f>
        <v/>
      </c>
      <c r="Q22" s="10" t="n"/>
    </row>
    <row r="23">
      <c r="A23" s="11" t="n"/>
      <c r="B23" s="10" t="n"/>
      <c r="C23" s="10" t="n"/>
      <c r="D23" s="15">
        <f>IF(C23="","",IFERROR(XLOOKUP(C23,tblProducts[Kod],tblProducts[Nomi]),"-"))</f>
        <v/>
      </c>
      <c r="E23" s="13" t="n"/>
      <c r="F23" s="12" t="n"/>
      <c r="G23" s="12" t="n"/>
      <c r="H23" s="14">
        <f>IF(E23="","",E23*F23)</f>
        <v/>
      </c>
      <c r="I23" s="14">
        <f>IF(E23="","",H23-G23)</f>
        <v/>
      </c>
      <c r="J23" s="12">
        <f>IF(C23="","",IFERROR(XLOOKUP(C23,tblProducts[Kod],tblProducts[Boshlangich_tannarx]),0))</f>
        <v/>
      </c>
      <c r="K23" s="14">
        <f>IF(E23="","",E23*J23)</f>
        <v/>
      </c>
      <c r="L23" s="14">
        <f>IF(E23="","",I23-K23)</f>
        <v/>
      </c>
      <c r="M23" s="18">
        <f>IF(OR(E23="",I23=0),"",IFERROR(L23/I23,0))</f>
        <v/>
      </c>
      <c r="N23" s="10" t="n"/>
      <c r="O23" s="10" t="n"/>
      <c r="P23" s="14">
        <f>IF(E23="","",IF(N23="USD",I23*IF(O23="",DefaultFX,O23),I23))</f>
        <v/>
      </c>
      <c r="Q23" s="10" t="n"/>
    </row>
    <row r="24">
      <c r="A24" s="11" t="n"/>
      <c r="B24" s="10" t="n"/>
      <c r="C24" s="10" t="n"/>
      <c r="D24" s="15">
        <f>IF(C24="","",IFERROR(XLOOKUP(C24,tblProducts[Kod],tblProducts[Nomi]),"-"))</f>
        <v/>
      </c>
      <c r="E24" s="13" t="n"/>
      <c r="F24" s="12" t="n"/>
      <c r="G24" s="12" t="n"/>
      <c r="H24" s="14">
        <f>IF(E24="","",E24*F24)</f>
        <v/>
      </c>
      <c r="I24" s="14">
        <f>IF(E24="","",H24-G24)</f>
        <v/>
      </c>
      <c r="J24" s="12">
        <f>IF(C24="","",IFERROR(XLOOKUP(C24,tblProducts[Kod],tblProducts[Boshlangich_tannarx]),0))</f>
        <v/>
      </c>
      <c r="K24" s="14">
        <f>IF(E24="","",E24*J24)</f>
        <v/>
      </c>
      <c r="L24" s="14">
        <f>IF(E24="","",I24-K24)</f>
        <v/>
      </c>
      <c r="M24" s="18">
        <f>IF(OR(E24="",I24=0),"",IFERROR(L24/I24,0))</f>
        <v/>
      </c>
      <c r="N24" s="10" t="n"/>
      <c r="O24" s="10" t="n"/>
      <c r="P24" s="14">
        <f>IF(E24="","",IF(N24="USD",I24*IF(O24="",DefaultFX,O24),I24))</f>
        <v/>
      </c>
      <c r="Q24" s="10" t="n"/>
    </row>
    <row r="25">
      <c r="A25" s="11" t="n"/>
      <c r="B25" s="10" t="n"/>
      <c r="C25" s="10" t="n"/>
      <c r="D25" s="15">
        <f>IF(C25="","",IFERROR(XLOOKUP(C25,tblProducts[Kod],tblProducts[Nomi]),"-"))</f>
        <v/>
      </c>
      <c r="E25" s="13" t="n"/>
      <c r="F25" s="12" t="n"/>
      <c r="G25" s="12" t="n"/>
      <c r="H25" s="14">
        <f>IF(E25="","",E25*F25)</f>
        <v/>
      </c>
      <c r="I25" s="14">
        <f>IF(E25="","",H25-G25)</f>
        <v/>
      </c>
      <c r="J25" s="12">
        <f>IF(C25="","",IFERROR(XLOOKUP(C25,tblProducts[Kod],tblProducts[Boshlangich_tannarx]),0))</f>
        <v/>
      </c>
      <c r="K25" s="14">
        <f>IF(E25="","",E25*J25)</f>
        <v/>
      </c>
      <c r="L25" s="14">
        <f>IF(E25="","",I25-K25)</f>
        <v/>
      </c>
      <c r="M25" s="18">
        <f>IF(OR(E25="",I25=0),"",IFERROR(L25/I25,0))</f>
        <v/>
      </c>
      <c r="N25" s="10" t="n"/>
      <c r="O25" s="10" t="n"/>
      <c r="P25" s="14">
        <f>IF(E25="","",IF(N25="USD",I25*IF(O25="",DefaultFX,O25),I25))</f>
        <v/>
      </c>
      <c r="Q25" s="10" t="n"/>
    </row>
    <row r="26">
      <c r="A26" s="11" t="n"/>
      <c r="B26" s="10" t="n"/>
      <c r="C26" s="10" t="n"/>
      <c r="D26" s="15">
        <f>IF(C26="","",IFERROR(XLOOKUP(C26,tblProducts[Kod],tblProducts[Nomi]),"-"))</f>
        <v/>
      </c>
      <c r="E26" s="13" t="n"/>
      <c r="F26" s="12" t="n"/>
      <c r="G26" s="12" t="n"/>
      <c r="H26" s="14">
        <f>IF(E26="","",E26*F26)</f>
        <v/>
      </c>
      <c r="I26" s="14">
        <f>IF(E26="","",H26-G26)</f>
        <v/>
      </c>
      <c r="J26" s="12">
        <f>IF(C26="","",IFERROR(XLOOKUP(C26,tblProducts[Kod],tblProducts[Boshlangich_tannarx]),0))</f>
        <v/>
      </c>
      <c r="K26" s="14">
        <f>IF(E26="","",E26*J26)</f>
        <v/>
      </c>
      <c r="L26" s="14">
        <f>IF(E26="","",I26-K26)</f>
        <v/>
      </c>
      <c r="M26" s="18">
        <f>IF(OR(E26="",I26=0),"",IFERROR(L26/I26,0))</f>
        <v/>
      </c>
      <c r="N26" s="10" t="n"/>
      <c r="O26" s="10" t="n"/>
      <c r="P26" s="14">
        <f>IF(E26="","",IF(N26="USD",I26*IF(O26="",DefaultFX,O26),I26))</f>
        <v/>
      </c>
      <c r="Q26" s="10" t="n"/>
    </row>
    <row r="27">
      <c r="A27" s="11" t="n"/>
      <c r="B27" s="10" t="n"/>
      <c r="C27" s="10" t="n"/>
      <c r="D27" s="15">
        <f>IF(C27="","",IFERROR(XLOOKUP(C27,tblProducts[Kod],tblProducts[Nomi]),"-"))</f>
        <v/>
      </c>
      <c r="E27" s="13" t="n"/>
      <c r="F27" s="12" t="n"/>
      <c r="G27" s="12" t="n"/>
      <c r="H27" s="14">
        <f>IF(E27="","",E27*F27)</f>
        <v/>
      </c>
      <c r="I27" s="14">
        <f>IF(E27="","",H27-G27)</f>
        <v/>
      </c>
      <c r="J27" s="12">
        <f>IF(C27="","",IFERROR(XLOOKUP(C27,tblProducts[Kod],tblProducts[Boshlangich_tannarx]),0))</f>
        <v/>
      </c>
      <c r="K27" s="14">
        <f>IF(E27="","",E27*J27)</f>
        <v/>
      </c>
      <c r="L27" s="14">
        <f>IF(E27="","",I27-K27)</f>
        <v/>
      </c>
      <c r="M27" s="18">
        <f>IF(OR(E27="",I27=0),"",IFERROR(L27/I27,0))</f>
        <v/>
      </c>
      <c r="N27" s="10" t="n"/>
      <c r="O27" s="10" t="n"/>
      <c r="P27" s="14">
        <f>IF(E27="","",IF(N27="USD",I27*IF(O27="",DefaultFX,O27),I27))</f>
        <v/>
      </c>
      <c r="Q27" s="10" t="n"/>
    </row>
    <row r="28">
      <c r="A28" s="11" t="n"/>
      <c r="B28" s="10" t="n"/>
      <c r="C28" s="10" t="n"/>
      <c r="D28" s="15">
        <f>IF(C28="","",IFERROR(XLOOKUP(C28,tblProducts[Kod],tblProducts[Nomi]),"-"))</f>
        <v/>
      </c>
      <c r="E28" s="13" t="n"/>
      <c r="F28" s="12" t="n"/>
      <c r="G28" s="12" t="n"/>
      <c r="H28" s="14">
        <f>IF(E28="","",E28*F28)</f>
        <v/>
      </c>
      <c r="I28" s="14">
        <f>IF(E28="","",H28-G28)</f>
        <v/>
      </c>
      <c r="J28" s="12">
        <f>IF(C28="","",IFERROR(XLOOKUP(C28,tblProducts[Kod],tblProducts[Boshlangich_tannarx]),0))</f>
        <v/>
      </c>
      <c r="K28" s="14">
        <f>IF(E28="","",E28*J28)</f>
        <v/>
      </c>
      <c r="L28" s="14">
        <f>IF(E28="","",I28-K28)</f>
        <v/>
      </c>
      <c r="M28" s="18">
        <f>IF(OR(E28="",I28=0),"",IFERROR(L28/I28,0))</f>
        <v/>
      </c>
      <c r="N28" s="10" t="n"/>
      <c r="O28" s="10" t="n"/>
      <c r="P28" s="14">
        <f>IF(E28="","",IF(N28="USD",I28*IF(O28="",DefaultFX,O28),I28))</f>
        <v/>
      </c>
      <c r="Q28" s="10" t="n"/>
    </row>
    <row r="29">
      <c r="A29" s="11" t="n"/>
      <c r="B29" s="10" t="n"/>
      <c r="C29" s="10" t="n"/>
      <c r="D29" s="15">
        <f>IF(C29="","",IFERROR(XLOOKUP(C29,tblProducts[Kod],tblProducts[Nomi]),"-"))</f>
        <v/>
      </c>
      <c r="E29" s="13" t="n"/>
      <c r="F29" s="12" t="n"/>
      <c r="G29" s="12" t="n"/>
      <c r="H29" s="14">
        <f>IF(E29="","",E29*F29)</f>
        <v/>
      </c>
      <c r="I29" s="14">
        <f>IF(E29="","",H29-G29)</f>
        <v/>
      </c>
      <c r="J29" s="12">
        <f>IF(C29="","",IFERROR(XLOOKUP(C29,tblProducts[Kod],tblProducts[Boshlangich_tannarx]),0))</f>
        <v/>
      </c>
      <c r="K29" s="14">
        <f>IF(E29="","",E29*J29)</f>
        <v/>
      </c>
      <c r="L29" s="14">
        <f>IF(E29="","",I29-K29)</f>
        <v/>
      </c>
      <c r="M29" s="18">
        <f>IF(OR(E29="",I29=0),"",IFERROR(L29/I29,0))</f>
        <v/>
      </c>
      <c r="N29" s="10" t="n"/>
      <c r="O29" s="10" t="n"/>
      <c r="P29" s="14">
        <f>IF(E29="","",IF(N29="USD",I29*IF(O29="",DefaultFX,O29),I29))</f>
        <v/>
      </c>
      <c r="Q29" s="10" t="n"/>
    </row>
    <row r="30">
      <c r="A30" s="11" t="n"/>
      <c r="B30" s="10" t="n"/>
      <c r="C30" s="10" t="n"/>
      <c r="D30" s="15">
        <f>IF(C30="","",IFERROR(XLOOKUP(C30,tblProducts[Kod],tblProducts[Nomi]),"-"))</f>
        <v/>
      </c>
      <c r="E30" s="13" t="n"/>
      <c r="F30" s="12" t="n"/>
      <c r="G30" s="12" t="n"/>
      <c r="H30" s="14">
        <f>IF(E30="","",E30*F30)</f>
        <v/>
      </c>
      <c r="I30" s="14">
        <f>IF(E30="","",H30-G30)</f>
        <v/>
      </c>
      <c r="J30" s="12">
        <f>IF(C30="","",IFERROR(XLOOKUP(C30,tblProducts[Kod],tblProducts[Boshlangich_tannarx]),0))</f>
        <v/>
      </c>
      <c r="K30" s="14">
        <f>IF(E30="","",E30*J30)</f>
        <v/>
      </c>
      <c r="L30" s="14">
        <f>IF(E30="","",I30-K30)</f>
        <v/>
      </c>
      <c r="M30" s="18">
        <f>IF(OR(E30="",I30=0),"",IFERROR(L30/I30,0))</f>
        <v/>
      </c>
      <c r="N30" s="10" t="n"/>
      <c r="O30" s="10" t="n"/>
      <c r="P30" s="14">
        <f>IF(E30="","",IF(N30="USD",I30*IF(O30="",DefaultFX,O30),I30))</f>
        <v/>
      </c>
      <c r="Q30" s="10" t="n"/>
    </row>
    <row r="31">
      <c r="A31" s="11" t="n"/>
      <c r="B31" s="10" t="n"/>
      <c r="C31" s="10" t="n"/>
      <c r="D31" s="15">
        <f>IF(C31="","",IFERROR(XLOOKUP(C31,tblProducts[Kod],tblProducts[Nomi]),"-"))</f>
        <v/>
      </c>
      <c r="E31" s="13" t="n"/>
      <c r="F31" s="12" t="n"/>
      <c r="G31" s="12" t="n"/>
      <c r="H31" s="14">
        <f>IF(E31="","",E31*F31)</f>
        <v/>
      </c>
      <c r="I31" s="14">
        <f>IF(E31="","",H31-G31)</f>
        <v/>
      </c>
      <c r="J31" s="12">
        <f>IF(C31="","",IFERROR(XLOOKUP(C31,tblProducts[Kod],tblProducts[Boshlangich_tannarx]),0))</f>
        <v/>
      </c>
      <c r="K31" s="14">
        <f>IF(E31="","",E31*J31)</f>
        <v/>
      </c>
      <c r="L31" s="14">
        <f>IF(E31="","",I31-K31)</f>
        <v/>
      </c>
      <c r="M31" s="18">
        <f>IF(OR(E31="",I31=0),"",IFERROR(L31/I31,0))</f>
        <v/>
      </c>
      <c r="N31" s="10" t="n"/>
      <c r="O31" s="10" t="n"/>
      <c r="P31" s="14">
        <f>IF(E31="","",IF(N31="USD",I31*IF(O31="",DefaultFX,O31),I31))</f>
        <v/>
      </c>
      <c r="Q31" s="10" t="n"/>
    </row>
    <row r="32">
      <c r="A32" s="11" t="n"/>
      <c r="B32" s="10" t="n"/>
      <c r="C32" s="10" t="n"/>
      <c r="D32" s="15">
        <f>IF(C32="","",IFERROR(XLOOKUP(C32,tblProducts[Kod],tblProducts[Nomi]),"-"))</f>
        <v/>
      </c>
      <c r="E32" s="13" t="n"/>
      <c r="F32" s="12" t="n"/>
      <c r="G32" s="12" t="n"/>
      <c r="H32" s="14">
        <f>IF(E32="","",E32*F32)</f>
        <v/>
      </c>
      <c r="I32" s="14">
        <f>IF(E32="","",H32-G32)</f>
        <v/>
      </c>
      <c r="J32" s="12">
        <f>IF(C32="","",IFERROR(XLOOKUP(C32,tblProducts[Kod],tblProducts[Boshlangich_tannarx]),0))</f>
        <v/>
      </c>
      <c r="K32" s="14">
        <f>IF(E32="","",E32*J32)</f>
        <v/>
      </c>
      <c r="L32" s="14">
        <f>IF(E32="","",I32-K32)</f>
        <v/>
      </c>
      <c r="M32" s="18">
        <f>IF(OR(E32="",I32=0),"",IFERROR(L32/I32,0))</f>
        <v/>
      </c>
      <c r="N32" s="10" t="n"/>
      <c r="O32" s="10" t="n"/>
      <c r="P32" s="14">
        <f>IF(E32="","",IF(N32="USD",I32*IF(O32="",DefaultFX,O32),I32))</f>
        <v/>
      </c>
      <c r="Q32" s="10" t="n"/>
    </row>
    <row r="33">
      <c r="A33" s="11" t="n"/>
      <c r="B33" s="10" t="n"/>
      <c r="C33" s="10" t="n"/>
      <c r="D33" s="15">
        <f>IF(C33="","",IFERROR(XLOOKUP(C33,tblProducts[Kod],tblProducts[Nomi]),"-"))</f>
        <v/>
      </c>
      <c r="E33" s="13" t="n"/>
      <c r="F33" s="12" t="n"/>
      <c r="G33" s="12" t="n"/>
      <c r="H33" s="14">
        <f>IF(E33="","",E33*F33)</f>
        <v/>
      </c>
      <c r="I33" s="14">
        <f>IF(E33="","",H33-G33)</f>
        <v/>
      </c>
      <c r="J33" s="12">
        <f>IF(C33="","",IFERROR(XLOOKUP(C33,tblProducts[Kod],tblProducts[Boshlangich_tannarx]),0))</f>
        <v/>
      </c>
      <c r="K33" s="14">
        <f>IF(E33="","",E33*J33)</f>
        <v/>
      </c>
      <c r="L33" s="14">
        <f>IF(E33="","",I33-K33)</f>
        <v/>
      </c>
      <c r="M33" s="18">
        <f>IF(OR(E33="",I33=0),"",IFERROR(L33/I33,0))</f>
        <v/>
      </c>
      <c r="N33" s="10" t="n"/>
      <c r="O33" s="10" t="n"/>
      <c r="P33" s="14">
        <f>IF(E33="","",IF(N33="USD",I33*IF(O33="",DefaultFX,O33),I33))</f>
        <v/>
      </c>
      <c r="Q33" s="10" t="n"/>
    </row>
    <row r="34">
      <c r="A34" s="11" t="n"/>
      <c r="B34" s="10" t="n"/>
      <c r="C34" s="10" t="n"/>
      <c r="D34" s="15">
        <f>IF(C34="","",IFERROR(XLOOKUP(C34,tblProducts[Kod],tblProducts[Nomi]),"-"))</f>
        <v/>
      </c>
      <c r="E34" s="13" t="n"/>
      <c r="F34" s="12" t="n"/>
      <c r="G34" s="12" t="n"/>
      <c r="H34" s="14">
        <f>IF(E34="","",E34*F34)</f>
        <v/>
      </c>
      <c r="I34" s="14">
        <f>IF(E34="","",H34-G34)</f>
        <v/>
      </c>
      <c r="J34" s="12">
        <f>IF(C34="","",IFERROR(XLOOKUP(C34,tblProducts[Kod],tblProducts[Boshlangich_tannarx]),0))</f>
        <v/>
      </c>
      <c r="K34" s="14">
        <f>IF(E34="","",E34*J34)</f>
        <v/>
      </c>
      <c r="L34" s="14">
        <f>IF(E34="","",I34-K34)</f>
        <v/>
      </c>
      <c r="M34" s="18">
        <f>IF(OR(E34="",I34=0),"",IFERROR(L34/I34,0))</f>
        <v/>
      </c>
      <c r="N34" s="10" t="n"/>
      <c r="O34" s="10" t="n"/>
      <c r="P34" s="14">
        <f>IF(E34="","",IF(N34="USD",I34*IF(O34="",DefaultFX,O34),I34))</f>
        <v/>
      </c>
      <c r="Q34" s="10" t="n"/>
    </row>
    <row r="35">
      <c r="A35" s="11" t="n"/>
      <c r="B35" s="10" t="n"/>
      <c r="C35" s="10" t="n"/>
      <c r="D35" s="15">
        <f>IF(C35="","",IFERROR(XLOOKUP(C35,tblProducts[Kod],tblProducts[Nomi]),"-"))</f>
        <v/>
      </c>
      <c r="E35" s="13" t="n"/>
      <c r="F35" s="12" t="n"/>
      <c r="G35" s="12" t="n"/>
      <c r="H35" s="14">
        <f>IF(E35="","",E35*F35)</f>
        <v/>
      </c>
      <c r="I35" s="14">
        <f>IF(E35="","",H35-G35)</f>
        <v/>
      </c>
      <c r="J35" s="12">
        <f>IF(C35="","",IFERROR(XLOOKUP(C35,tblProducts[Kod],tblProducts[Boshlangich_tannarx]),0))</f>
        <v/>
      </c>
      <c r="K35" s="14">
        <f>IF(E35="","",E35*J35)</f>
        <v/>
      </c>
      <c r="L35" s="14">
        <f>IF(E35="","",I35-K35)</f>
        <v/>
      </c>
      <c r="M35" s="18">
        <f>IF(OR(E35="",I35=0),"",IFERROR(L35/I35,0))</f>
        <v/>
      </c>
      <c r="N35" s="10" t="n"/>
      <c r="O35" s="10" t="n"/>
      <c r="P35" s="14">
        <f>IF(E35="","",IF(N35="USD",I35*IF(O35="",DefaultFX,O35),I35))</f>
        <v/>
      </c>
      <c r="Q35" s="10" t="n"/>
    </row>
    <row r="36">
      <c r="A36" s="11" t="n"/>
      <c r="B36" s="10" t="n"/>
      <c r="C36" s="10" t="n"/>
      <c r="D36" s="15">
        <f>IF(C36="","",IFERROR(XLOOKUP(C36,tblProducts[Kod],tblProducts[Nomi]),"-"))</f>
        <v/>
      </c>
      <c r="E36" s="13" t="n"/>
      <c r="F36" s="12" t="n"/>
      <c r="G36" s="12" t="n"/>
      <c r="H36" s="14">
        <f>IF(E36="","",E36*F36)</f>
        <v/>
      </c>
      <c r="I36" s="14">
        <f>IF(E36="","",H36-G36)</f>
        <v/>
      </c>
      <c r="J36" s="12">
        <f>IF(C36="","",IFERROR(XLOOKUP(C36,tblProducts[Kod],tblProducts[Boshlangich_tannarx]),0))</f>
        <v/>
      </c>
      <c r="K36" s="14">
        <f>IF(E36="","",E36*J36)</f>
        <v/>
      </c>
      <c r="L36" s="14">
        <f>IF(E36="","",I36-K36)</f>
        <v/>
      </c>
      <c r="M36" s="18">
        <f>IF(OR(E36="",I36=0),"",IFERROR(L36/I36,0))</f>
        <v/>
      </c>
      <c r="N36" s="10" t="n"/>
      <c r="O36" s="10" t="n"/>
      <c r="P36" s="14">
        <f>IF(E36="","",IF(N36="USD",I36*IF(O36="",DefaultFX,O36),I36))</f>
        <v/>
      </c>
      <c r="Q36" s="10" t="n"/>
    </row>
    <row r="37">
      <c r="A37" s="11" t="n"/>
      <c r="B37" s="10" t="n"/>
      <c r="C37" s="10" t="n"/>
      <c r="D37" s="15">
        <f>IF(C37="","",IFERROR(XLOOKUP(C37,tblProducts[Kod],tblProducts[Nomi]),"-"))</f>
        <v/>
      </c>
      <c r="E37" s="13" t="n"/>
      <c r="F37" s="12" t="n"/>
      <c r="G37" s="12" t="n"/>
      <c r="H37" s="14">
        <f>IF(E37="","",E37*F37)</f>
        <v/>
      </c>
      <c r="I37" s="14">
        <f>IF(E37="","",H37-G37)</f>
        <v/>
      </c>
      <c r="J37" s="12">
        <f>IF(C37="","",IFERROR(XLOOKUP(C37,tblProducts[Kod],tblProducts[Boshlangich_tannarx]),0))</f>
        <v/>
      </c>
      <c r="K37" s="14">
        <f>IF(E37="","",E37*J37)</f>
        <v/>
      </c>
      <c r="L37" s="14">
        <f>IF(E37="","",I37-K37)</f>
        <v/>
      </c>
      <c r="M37" s="18">
        <f>IF(OR(E37="",I37=0),"",IFERROR(L37/I37,0))</f>
        <v/>
      </c>
      <c r="N37" s="10" t="n"/>
      <c r="O37" s="10" t="n"/>
      <c r="P37" s="14">
        <f>IF(E37="","",IF(N37="USD",I37*IF(O37="",DefaultFX,O37),I37))</f>
        <v/>
      </c>
      <c r="Q37" s="10" t="n"/>
    </row>
    <row r="38">
      <c r="A38" s="11" t="n"/>
      <c r="B38" s="10" t="n"/>
      <c r="C38" s="10" t="n"/>
      <c r="D38" s="15">
        <f>IF(C38="","",IFERROR(XLOOKUP(C38,tblProducts[Kod],tblProducts[Nomi]),"-"))</f>
        <v/>
      </c>
      <c r="E38" s="13" t="n"/>
      <c r="F38" s="12" t="n"/>
      <c r="G38" s="12" t="n"/>
      <c r="H38" s="14">
        <f>IF(E38="","",E38*F38)</f>
        <v/>
      </c>
      <c r="I38" s="14">
        <f>IF(E38="","",H38-G38)</f>
        <v/>
      </c>
      <c r="J38" s="12">
        <f>IF(C38="","",IFERROR(XLOOKUP(C38,tblProducts[Kod],tblProducts[Boshlangich_tannarx]),0))</f>
        <v/>
      </c>
      <c r="K38" s="14">
        <f>IF(E38="","",E38*J38)</f>
        <v/>
      </c>
      <c r="L38" s="14">
        <f>IF(E38="","",I38-K38)</f>
        <v/>
      </c>
      <c r="M38" s="18">
        <f>IF(OR(E38="",I38=0),"",IFERROR(L38/I38,0))</f>
        <v/>
      </c>
      <c r="N38" s="10" t="n"/>
      <c r="O38" s="10" t="n"/>
      <c r="P38" s="14">
        <f>IF(E38="","",IF(N38="USD",I38*IF(O38="",DefaultFX,O38),I38))</f>
        <v/>
      </c>
      <c r="Q38" s="10" t="n"/>
    </row>
    <row r="39">
      <c r="A39" s="11" t="n"/>
      <c r="B39" s="10" t="n"/>
      <c r="C39" s="10" t="n"/>
      <c r="D39" s="15">
        <f>IF(C39="","",IFERROR(XLOOKUP(C39,tblProducts[Kod],tblProducts[Nomi]),"-"))</f>
        <v/>
      </c>
      <c r="E39" s="13" t="n"/>
      <c r="F39" s="12" t="n"/>
      <c r="G39" s="12" t="n"/>
      <c r="H39" s="14">
        <f>IF(E39="","",E39*F39)</f>
        <v/>
      </c>
      <c r="I39" s="14">
        <f>IF(E39="","",H39-G39)</f>
        <v/>
      </c>
      <c r="J39" s="12">
        <f>IF(C39="","",IFERROR(XLOOKUP(C39,tblProducts[Kod],tblProducts[Boshlangich_tannarx]),0))</f>
        <v/>
      </c>
      <c r="K39" s="14">
        <f>IF(E39="","",E39*J39)</f>
        <v/>
      </c>
      <c r="L39" s="14">
        <f>IF(E39="","",I39-K39)</f>
        <v/>
      </c>
      <c r="M39" s="18">
        <f>IF(OR(E39="",I39=0),"",IFERROR(L39/I39,0))</f>
        <v/>
      </c>
      <c r="N39" s="10" t="n"/>
      <c r="O39" s="10" t="n"/>
      <c r="P39" s="14">
        <f>IF(E39="","",IF(N39="USD",I39*IF(O39="",DefaultFX,O39),I39))</f>
        <v/>
      </c>
      <c r="Q39" s="10" t="n"/>
    </row>
    <row r="40">
      <c r="A40" s="11" t="n"/>
      <c r="B40" s="10" t="n"/>
      <c r="C40" s="10" t="n"/>
      <c r="D40" s="15">
        <f>IF(C40="","",IFERROR(XLOOKUP(C40,tblProducts[Kod],tblProducts[Nomi]),"-"))</f>
        <v/>
      </c>
      <c r="E40" s="13" t="n"/>
      <c r="F40" s="12" t="n"/>
      <c r="G40" s="12" t="n"/>
      <c r="H40" s="14">
        <f>IF(E40="","",E40*F40)</f>
        <v/>
      </c>
      <c r="I40" s="14">
        <f>IF(E40="","",H40-G40)</f>
        <v/>
      </c>
      <c r="J40" s="12">
        <f>IF(C40="","",IFERROR(XLOOKUP(C40,tblProducts[Kod],tblProducts[Boshlangich_tannarx]),0))</f>
        <v/>
      </c>
      <c r="K40" s="14">
        <f>IF(E40="","",E40*J40)</f>
        <v/>
      </c>
      <c r="L40" s="14">
        <f>IF(E40="","",I40-K40)</f>
        <v/>
      </c>
      <c r="M40" s="18">
        <f>IF(OR(E40="",I40=0),"",IFERROR(L40/I40,0))</f>
        <v/>
      </c>
      <c r="N40" s="10" t="n"/>
      <c r="O40" s="10" t="n"/>
      <c r="P40" s="14">
        <f>IF(E40="","",IF(N40="USD",I40*IF(O40="",DefaultFX,O40),I40))</f>
        <v/>
      </c>
      <c r="Q40" s="10" t="n"/>
    </row>
    <row r="41">
      <c r="A41" s="11" t="n"/>
      <c r="B41" s="10" t="n"/>
      <c r="C41" s="10" t="n"/>
      <c r="D41" s="15">
        <f>IF(C41="","",IFERROR(XLOOKUP(C41,tblProducts[Kod],tblProducts[Nomi]),"-"))</f>
        <v/>
      </c>
      <c r="E41" s="13" t="n"/>
      <c r="F41" s="12" t="n"/>
      <c r="G41" s="12" t="n"/>
      <c r="H41" s="14">
        <f>IF(E41="","",E41*F41)</f>
        <v/>
      </c>
      <c r="I41" s="14">
        <f>IF(E41="","",H41-G41)</f>
        <v/>
      </c>
      <c r="J41" s="12">
        <f>IF(C41="","",IFERROR(XLOOKUP(C41,tblProducts[Kod],tblProducts[Boshlangich_tannarx]),0))</f>
        <v/>
      </c>
      <c r="K41" s="14">
        <f>IF(E41="","",E41*J41)</f>
        <v/>
      </c>
      <c r="L41" s="14">
        <f>IF(E41="","",I41-K41)</f>
        <v/>
      </c>
      <c r="M41" s="18">
        <f>IF(OR(E41="",I41=0),"",IFERROR(L41/I41,0))</f>
        <v/>
      </c>
      <c r="N41" s="10" t="n"/>
      <c r="O41" s="10" t="n"/>
      <c r="P41" s="14">
        <f>IF(E41="","",IF(N41="USD",I41*IF(O41="",DefaultFX,O41),I41))</f>
        <v/>
      </c>
      <c r="Q41" s="10" t="n"/>
    </row>
    <row r="42">
      <c r="A42" s="11" t="n"/>
      <c r="B42" s="10" t="n"/>
      <c r="C42" s="10" t="n"/>
      <c r="D42" s="15">
        <f>IF(C42="","",IFERROR(XLOOKUP(C42,tblProducts[Kod],tblProducts[Nomi]),"-"))</f>
        <v/>
      </c>
      <c r="E42" s="13" t="n"/>
      <c r="F42" s="12" t="n"/>
      <c r="G42" s="12" t="n"/>
      <c r="H42" s="14">
        <f>IF(E42="","",E42*F42)</f>
        <v/>
      </c>
      <c r="I42" s="14">
        <f>IF(E42="","",H42-G42)</f>
        <v/>
      </c>
      <c r="J42" s="12">
        <f>IF(C42="","",IFERROR(XLOOKUP(C42,tblProducts[Kod],tblProducts[Boshlangich_tannarx]),0))</f>
        <v/>
      </c>
      <c r="K42" s="14">
        <f>IF(E42="","",E42*J42)</f>
        <v/>
      </c>
      <c r="L42" s="14">
        <f>IF(E42="","",I42-K42)</f>
        <v/>
      </c>
      <c r="M42" s="18">
        <f>IF(OR(E42="",I42=0),"",IFERROR(L42/I42,0))</f>
        <v/>
      </c>
      <c r="N42" s="10" t="n"/>
      <c r="O42" s="10" t="n"/>
      <c r="P42" s="14">
        <f>IF(E42="","",IF(N42="USD",I42*IF(O42="",DefaultFX,O42),I42))</f>
        <v/>
      </c>
      <c r="Q42" s="10" t="n"/>
    </row>
    <row r="43">
      <c r="A43" s="11" t="n"/>
      <c r="B43" s="10" t="n"/>
      <c r="C43" s="10" t="n"/>
      <c r="D43" s="15">
        <f>IF(C43="","",IFERROR(XLOOKUP(C43,tblProducts[Kod],tblProducts[Nomi]),"-"))</f>
        <v/>
      </c>
      <c r="E43" s="13" t="n"/>
      <c r="F43" s="12" t="n"/>
      <c r="G43" s="12" t="n"/>
      <c r="H43" s="14">
        <f>IF(E43="","",E43*F43)</f>
        <v/>
      </c>
      <c r="I43" s="14">
        <f>IF(E43="","",H43-G43)</f>
        <v/>
      </c>
      <c r="J43" s="12">
        <f>IF(C43="","",IFERROR(XLOOKUP(C43,tblProducts[Kod],tblProducts[Boshlangich_tannarx]),0))</f>
        <v/>
      </c>
      <c r="K43" s="14">
        <f>IF(E43="","",E43*J43)</f>
        <v/>
      </c>
      <c r="L43" s="14">
        <f>IF(E43="","",I43-K43)</f>
        <v/>
      </c>
      <c r="M43" s="18">
        <f>IF(OR(E43="",I43=0),"",IFERROR(L43/I43,0))</f>
        <v/>
      </c>
      <c r="N43" s="10" t="n"/>
      <c r="O43" s="10" t="n"/>
      <c r="P43" s="14">
        <f>IF(E43="","",IF(N43="USD",I43*IF(O43="",DefaultFX,O43),I43))</f>
        <v/>
      </c>
      <c r="Q43" s="10" t="n"/>
    </row>
    <row r="44">
      <c r="A44" s="11" t="n"/>
      <c r="B44" s="10" t="n"/>
      <c r="C44" s="10" t="n"/>
      <c r="D44" s="15">
        <f>IF(C44="","",IFERROR(XLOOKUP(C44,tblProducts[Kod],tblProducts[Nomi]),"-"))</f>
        <v/>
      </c>
      <c r="E44" s="13" t="n"/>
      <c r="F44" s="12" t="n"/>
      <c r="G44" s="12" t="n"/>
      <c r="H44" s="14">
        <f>IF(E44="","",E44*F44)</f>
        <v/>
      </c>
      <c r="I44" s="14">
        <f>IF(E44="","",H44-G44)</f>
        <v/>
      </c>
      <c r="J44" s="12">
        <f>IF(C44="","",IFERROR(XLOOKUP(C44,tblProducts[Kod],tblProducts[Boshlangich_tannarx]),0))</f>
        <v/>
      </c>
      <c r="K44" s="14">
        <f>IF(E44="","",E44*J44)</f>
        <v/>
      </c>
      <c r="L44" s="14">
        <f>IF(E44="","",I44-K44)</f>
        <v/>
      </c>
      <c r="M44" s="18">
        <f>IF(OR(E44="",I44=0),"",IFERROR(L44/I44,0))</f>
        <v/>
      </c>
      <c r="N44" s="10" t="n"/>
      <c r="O44" s="10" t="n"/>
      <c r="P44" s="14">
        <f>IF(E44="","",IF(N44="USD",I44*IF(O44="",DefaultFX,O44),I44))</f>
        <v/>
      </c>
      <c r="Q44" s="10" t="n"/>
    </row>
    <row r="45"/>
    <row r="46">
      <c r="A46" s="2" t="inlineStr">
        <is>
          <t>Bo'sh qatorlarda Birlik_tannarx (J) ni kiriting yoki: =XLOOKUP(C5,tblProducts[Kod],tblProducts[Boshlangich_tannarx])</t>
        </is>
      </c>
    </row>
  </sheetData>
  <dataValidations count="1">
    <dataValidation sqref="N5:N44" showDropDown="0" showInputMessage="0" showErrorMessage="0" allowBlank="1" type="list">
      <formula1>"UZS,USD"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4" customWidth="1" min="4" max="4"/>
    <col width="30" customWidth="1" min="5" max="5"/>
    <col width="10" customWidth="1" min="6" max="6"/>
    <col width="16" customWidth="1" min="7" max="7"/>
    <col width="24" customWidth="1" min="8" max="8"/>
    <col width="10" customWidth="1" min="9" max="9"/>
    <col width="24" customWidth="1" min="10" max="10"/>
    <col width="11" customWidth="1" min="11" max="11"/>
  </cols>
  <sheetData>
    <row r="1">
      <c r="A1" s="1" t="inlineStr">
        <is>
          <t>Kirim / Xarid (Purchases)</t>
        </is>
      </c>
    </row>
    <row r="2">
      <c r="A2" s="2" t="inlineStr">
        <is>
          <t>Summa = Miqdor × Birlik_tannarx. Yetkazuvchi qarziga bog'lash mumkin (08_Yetkazuvchi).</t>
        </is>
      </c>
    </row>
    <row r="3"/>
    <row r="4" ht="32" customHeight="1">
      <c r="A4" s="9" t="inlineStr">
        <is>
          <t>Sana</t>
        </is>
      </c>
      <c r="B4" s="9" t="inlineStr">
        <is>
          <t>Xarid_N</t>
        </is>
      </c>
      <c r="C4" s="9" t="inlineStr">
        <is>
          <t>Yetkazuvchi</t>
        </is>
      </c>
      <c r="D4" s="9" t="inlineStr">
        <is>
          <t>Mahsulot_kod</t>
        </is>
      </c>
      <c r="E4" s="9" t="inlineStr">
        <is>
          <t>Mahsulot_nomi</t>
        </is>
      </c>
      <c r="F4" s="9" t="inlineStr">
        <is>
          <t>Miqdor</t>
        </is>
      </c>
      <c r="G4" s="9" t="inlineStr">
        <is>
          <t>Birlik_tannarx</t>
        </is>
      </c>
      <c r="H4" s="9" t="inlineStr">
        <is>
          <t>Summa_UZS</t>
        </is>
      </c>
      <c r="I4" s="9" t="inlineStr">
        <is>
          <t>Tolangan</t>
        </is>
      </c>
      <c r="J4" s="9" t="inlineStr">
        <is>
          <t>Qarz</t>
        </is>
      </c>
      <c r="K4" s="9" t="inlineStr">
        <is>
          <t>Izoh</t>
        </is>
      </c>
    </row>
    <row r="5">
      <c r="A5" s="11" t="n">
        <v>46235</v>
      </c>
      <c r="B5" s="10" t="inlineStr">
        <is>
          <t>PO-01</t>
        </is>
      </c>
      <c r="C5" s="10" t="inlineStr">
        <is>
          <t>Yetkazuvchi A</t>
        </is>
      </c>
      <c r="D5" s="10" t="inlineStr">
        <is>
          <t>PRD-001</t>
        </is>
      </c>
      <c r="E5" s="15">
        <f>IF(D5="","",IFERROR(XLOOKUP(D5,tblProducts[Kod],tblProducts[Nomi]),"-"))</f>
        <v/>
      </c>
      <c r="F5" s="13" t="n">
        <v>50</v>
      </c>
      <c r="G5" s="12" t="n">
        <v>8000</v>
      </c>
      <c r="H5" s="14">
        <f>F5*G5</f>
        <v/>
      </c>
      <c r="I5" s="12" t="n">
        <v>400000</v>
      </c>
      <c r="J5" s="14">
        <f>H5-I5</f>
        <v/>
      </c>
      <c r="K5" s="10" t="inlineStr">
        <is>
          <t>Partiya 1</t>
        </is>
      </c>
    </row>
    <row r="6">
      <c r="A6" s="11" t="n">
        <v>46236</v>
      </c>
      <c r="B6" s="10" t="inlineStr">
        <is>
          <t>PO-02</t>
        </is>
      </c>
      <c r="C6" s="10" t="inlineStr">
        <is>
          <t>Yetkazuvchi B</t>
        </is>
      </c>
      <c r="D6" s="10" t="inlineStr">
        <is>
          <t>PRD-002</t>
        </is>
      </c>
      <c r="E6" s="15">
        <f>IF(D6="","",IFERROR(XLOOKUP(D6,tblProducts[Kod],tblProducts[Nomi]),"-"))</f>
        <v/>
      </c>
      <c r="F6" s="13" t="n">
        <v>20</v>
      </c>
      <c r="G6" s="12" t="n">
        <v>18000</v>
      </c>
      <c r="H6" s="14">
        <f>F6*G6</f>
        <v/>
      </c>
      <c r="I6" s="12" t="n">
        <v>160000</v>
      </c>
      <c r="J6" s="14">
        <f>H6-I6</f>
        <v/>
      </c>
      <c r="K6" s="10" t="inlineStr"/>
    </row>
    <row r="7">
      <c r="A7" s="11" t="n">
        <v>46237</v>
      </c>
      <c r="B7" s="10" t="inlineStr">
        <is>
          <t>PO-03</t>
        </is>
      </c>
      <c r="C7" s="10" t="inlineStr">
        <is>
          <t>Yetkazuvchi A</t>
        </is>
      </c>
      <c r="D7" s="10" t="inlineStr">
        <is>
          <t>PRD-005</t>
        </is>
      </c>
      <c r="E7" s="15">
        <f>IF(D7="","",IFERROR(XLOOKUP(D7,tblProducts[Kod],tblProducts[Nomi]),"-"))</f>
        <v/>
      </c>
      <c r="F7" s="13" t="n">
        <v>30</v>
      </c>
      <c r="G7" s="12" t="n">
        <v>9000</v>
      </c>
      <c r="H7" s="14">
        <f>F7*G7</f>
        <v/>
      </c>
      <c r="I7" s="12" t="n">
        <v>0</v>
      </c>
      <c r="J7" s="14">
        <f>H7-I7</f>
        <v/>
      </c>
      <c r="K7" s="10" t="inlineStr"/>
    </row>
    <row r="8">
      <c r="A8" s="11" t="n">
        <v>46244</v>
      </c>
      <c r="B8" s="10" t="inlineStr">
        <is>
          <t>PO-04</t>
        </is>
      </c>
      <c r="C8" s="10" t="inlineStr">
        <is>
          <t>Yetkazuvchi C</t>
        </is>
      </c>
      <c r="D8" s="10" t="inlineStr">
        <is>
          <t>PRD-003</t>
        </is>
      </c>
      <c r="E8" s="15">
        <f>IF(D8="","",IFERROR(XLOOKUP(D8,tblProducts[Kod],tblProducts[Nomi]),"-"))</f>
        <v/>
      </c>
      <c r="F8" s="13" t="n">
        <v>40</v>
      </c>
      <c r="G8" s="12" t="n">
        <v>3400</v>
      </c>
      <c r="H8" s="14">
        <f>F8*G8</f>
        <v/>
      </c>
      <c r="I8" s="12" t="n">
        <v>136000</v>
      </c>
      <c r="J8" s="14">
        <f>H8-I8</f>
        <v/>
      </c>
      <c r="K8" s="10" t="inlineStr">
        <is>
          <t>Chegirma</t>
        </is>
      </c>
    </row>
    <row r="9">
      <c r="A9" s="11" t="n">
        <v>46249</v>
      </c>
      <c r="B9" s="10" t="inlineStr">
        <is>
          <t>PO-05</t>
        </is>
      </c>
      <c r="C9" s="10" t="inlineStr">
        <is>
          <t>Yetkazuvchi B</t>
        </is>
      </c>
      <c r="D9" s="10" t="inlineStr">
        <is>
          <t>PRD-004</t>
        </is>
      </c>
      <c r="E9" s="15">
        <f>IF(D9="","",IFERROR(XLOOKUP(D9,tblProducts[Kod],tblProducts[Nomi]),"-"))</f>
        <v/>
      </c>
      <c r="F9" s="13" t="n">
        <v>25</v>
      </c>
      <c r="G9" s="12" t="n">
        <v>12000</v>
      </c>
      <c r="H9" s="14">
        <f>F9*G9</f>
        <v/>
      </c>
      <c r="I9" s="12" t="n">
        <v>100000</v>
      </c>
      <c r="J9" s="14">
        <f>H9-I9</f>
        <v/>
      </c>
      <c r="K9" s="10" t="inlineStr"/>
    </row>
    <row r="10">
      <c r="A10" s="11" t="n"/>
      <c r="B10" s="10" t="n"/>
      <c r="C10" s="10" t="n"/>
      <c r="D10" s="10" t="n"/>
      <c r="E10" s="15">
        <f>IF(D10="","",IFERROR(XLOOKUP(D10,tblProducts[Kod],tblProducts[Nomi]),"-"))</f>
        <v/>
      </c>
      <c r="F10" s="13" t="n"/>
      <c r="G10" s="12" t="n"/>
      <c r="H10" s="14">
        <f>IF(F10="","",F10*G10)</f>
        <v/>
      </c>
      <c r="I10" s="12" t="n"/>
      <c r="J10" s="14">
        <f>IF(F10="","",H10-I10)</f>
        <v/>
      </c>
      <c r="K10" s="10" t="n"/>
    </row>
    <row r="11">
      <c r="A11" s="11" t="n"/>
      <c r="B11" s="10" t="n"/>
      <c r="C11" s="10" t="n"/>
      <c r="D11" s="10" t="n"/>
      <c r="E11" s="15">
        <f>IF(D11="","",IFERROR(XLOOKUP(D11,tblProducts[Kod],tblProducts[Nomi]),"-"))</f>
        <v/>
      </c>
      <c r="F11" s="13" t="n"/>
      <c r="G11" s="12" t="n"/>
      <c r="H11" s="14">
        <f>IF(F11="","",F11*G11)</f>
        <v/>
      </c>
      <c r="I11" s="12" t="n"/>
      <c r="J11" s="14">
        <f>IF(F11="","",H11-I11)</f>
        <v/>
      </c>
      <c r="K11" s="10" t="n"/>
    </row>
    <row r="12">
      <c r="A12" s="11" t="n"/>
      <c r="B12" s="10" t="n"/>
      <c r="C12" s="10" t="n"/>
      <c r="D12" s="10" t="n"/>
      <c r="E12" s="15">
        <f>IF(D12="","",IFERROR(XLOOKUP(D12,tblProducts[Kod],tblProducts[Nomi]),"-"))</f>
        <v/>
      </c>
      <c r="F12" s="13" t="n"/>
      <c r="G12" s="12" t="n"/>
      <c r="H12" s="14">
        <f>IF(F12="","",F12*G12)</f>
        <v/>
      </c>
      <c r="I12" s="12" t="n"/>
      <c r="J12" s="14">
        <f>IF(F12="","",H12-I12)</f>
        <v/>
      </c>
      <c r="K12" s="10" t="n"/>
    </row>
    <row r="13">
      <c r="A13" s="11" t="n"/>
      <c r="B13" s="10" t="n"/>
      <c r="C13" s="10" t="n"/>
      <c r="D13" s="10" t="n"/>
      <c r="E13" s="15">
        <f>IF(D13="","",IFERROR(XLOOKUP(D13,tblProducts[Kod],tblProducts[Nomi]),"-"))</f>
        <v/>
      </c>
      <c r="F13" s="13" t="n"/>
      <c r="G13" s="12" t="n"/>
      <c r="H13" s="14">
        <f>IF(F13="","",F13*G13)</f>
        <v/>
      </c>
      <c r="I13" s="12" t="n"/>
      <c r="J13" s="14">
        <f>IF(F13="","",H13-I13)</f>
        <v/>
      </c>
      <c r="K13" s="10" t="n"/>
    </row>
    <row r="14">
      <c r="A14" s="11" t="n"/>
      <c r="B14" s="10" t="n"/>
      <c r="C14" s="10" t="n"/>
      <c r="D14" s="10" t="n"/>
      <c r="E14" s="15">
        <f>IF(D14="","",IFERROR(XLOOKUP(D14,tblProducts[Kod],tblProducts[Nomi]),"-"))</f>
        <v/>
      </c>
      <c r="F14" s="13" t="n"/>
      <c r="G14" s="12" t="n"/>
      <c r="H14" s="14">
        <f>IF(F14="","",F14*G14)</f>
        <v/>
      </c>
      <c r="I14" s="12" t="n"/>
      <c r="J14" s="14">
        <f>IF(F14="","",H14-I14)</f>
        <v/>
      </c>
      <c r="K14" s="10" t="n"/>
    </row>
    <row r="15">
      <c r="A15" s="11" t="n"/>
      <c r="B15" s="10" t="n"/>
      <c r="C15" s="10" t="n"/>
      <c r="D15" s="10" t="n"/>
      <c r="E15" s="15">
        <f>IF(D15="","",IFERROR(XLOOKUP(D15,tblProducts[Kod],tblProducts[Nomi]),"-"))</f>
        <v/>
      </c>
      <c r="F15" s="13" t="n"/>
      <c r="G15" s="12" t="n"/>
      <c r="H15" s="14">
        <f>IF(F15="","",F15*G15)</f>
        <v/>
      </c>
      <c r="I15" s="12" t="n"/>
      <c r="J15" s="14">
        <f>IF(F15="","",H15-I15)</f>
        <v/>
      </c>
      <c r="K15" s="10" t="n"/>
    </row>
    <row r="16">
      <c r="A16" s="11" t="n"/>
      <c r="B16" s="10" t="n"/>
      <c r="C16" s="10" t="n"/>
      <c r="D16" s="10" t="n"/>
      <c r="E16" s="15">
        <f>IF(D16="","",IFERROR(XLOOKUP(D16,tblProducts[Kod],tblProducts[Nomi]),"-"))</f>
        <v/>
      </c>
      <c r="F16" s="13" t="n"/>
      <c r="G16" s="12" t="n"/>
      <c r="H16" s="14">
        <f>IF(F16="","",F16*G16)</f>
        <v/>
      </c>
      <c r="I16" s="12" t="n"/>
      <c r="J16" s="14">
        <f>IF(F16="","",H16-I16)</f>
        <v/>
      </c>
      <c r="K16" s="10" t="n"/>
    </row>
    <row r="17">
      <c r="A17" s="11" t="n"/>
      <c r="B17" s="10" t="n"/>
      <c r="C17" s="10" t="n"/>
      <c r="D17" s="10" t="n"/>
      <c r="E17" s="15">
        <f>IF(D17="","",IFERROR(XLOOKUP(D17,tblProducts[Kod],tblProducts[Nomi]),"-"))</f>
        <v/>
      </c>
      <c r="F17" s="13" t="n"/>
      <c r="G17" s="12" t="n"/>
      <c r="H17" s="14">
        <f>IF(F17="","",F17*G17)</f>
        <v/>
      </c>
      <c r="I17" s="12" t="n"/>
      <c r="J17" s="14">
        <f>IF(F17="","",H17-I17)</f>
        <v/>
      </c>
      <c r="K17" s="10" t="n"/>
    </row>
    <row r="18">
      <c r="A18" s="11" t="n"/>
      <c r="B18" s="10" t="n"/>
      <c r="C18" s="10" t="n"/>
      <c r="D18" s="10" t="n"/>
      <c r="E18" s="15">
        <f>IF(D18="","",IFERROR(XLOOKUP(D18,tblProducts[Kod],tblProducts[Nomi]),"-"))</f>
        <v/>
      </c>
      <c r="F18" s="13" t="n"/>
      <c r="G18" s="12" t="n"/>
      <c r="H18" s="14">
        <f>IF(F18="","",F18*G18)</f>
        <v/>
      </c>
      <c r="I18" s="12" t="n"/>
      <c r="J18" s="14">
        <f>IF(F18="","",H18-I18)</f>
        <v/>
      </c>
      <c r="K18" s="10" t="n"/>
    </row>
    <row r="19">
      <c r="A19" s="11" t="n"/>
      <c r="B19" s="10" t="n"/>
      <c r="C19" s="10" t="n"/>
      <c r="D19" s="10" t="n"/>
      <c r="E19" s="15">
        <f>IF(D19="","",IFERROR(XLOOKUP(D19,tblProducts[Kod],tblProducts[Nomi]),"-"))</f>
        <v/>
      </c>
      <c r="F19" s="13" t="n"/>
      <c r="G19" s="12" t="n"/>
      <c r="H19" s="14">
        <f>IF(F19="","",F19*G19)</f>
        <v/>
      </c>
      <c r="I19" s="12" t="n"/>
      <c r="J19" s="14">
        <f>IF(F19="","",H19-I19)</f>
        <v/>
      </c>
      <c r="K19" s="10" t="n"/>
    </row>
    <row r="20">
      <c r="A20" s="11" t="n"/>
      <c r="B20" s="10" t="n"/>
      <c r="C20" s="10" t="n"/>
      <c r="D20" s="10" t="n"/>
      <c r="E20" s="15">
        <f>IF(D20="","",IFERROR(XLOOKUP(D20,tblProducts[Kod],tblProducts[Nomi]),"-"))</f>
        <v/>
      </c>
      <c r="F20" s="13" t="n"/>
      <c r="G20" s="12" t="n"/>
      <c r="H20" s="14">
        <f>IF(F20="","",F20*G20)</f>
        <v/>
      </c>
      <c r="I20" s="12" t="n"/>
      <c r="J20" s="14">
        <f>IF(F20="","",H20-I20)</f>
        <v/>
      </c>
      <c r="K20" s="10" t="n"/>
    </row>
    <row r="21">
      <c r="A21" s="11" t="n"/>
      <c r="B21" s="10" t="n"/>
      <c r="C21" s="10" t="n"/>
      <c r="D21" s="10" t="n"/>
      <c r="E21" s="15">
        <f>IF(D21="","",IFERROR(XLOOKUP(D21,tblProducts[Kod],tblProducts[Nomi]),"-"))</f>
        <v/>
      </c>
      <c r="F21" s="13" t="n"/>
      <c r="G21" s="12" t="n"/>
      <c r="H21" s="14">
        <f>IF(F21="","",F21*G21)</f>
        <v/>
      </c>
      <c r="I21" s="12" t="n"/>
      <c r="J21" s="14">
        <f>IF(F21="","",H21-I21)</f>
        <v/>
      </c>
      <c r="K21" s="10" t="n"/>
    </row>
    <row r="22">
      <c r="A22" s="11" t="n"/>
      <c r="B22" s="10" t="n"/>
      <c r="C22" s="10" t="n"/>
      <c r="D22" s="10" t="n"/>
      <c r="E22" s="15">
        <f>IF(D22="","",IFERROR(XLOOKUP(D22,tblProducts[Kod],tblProducts[Nomi]),"-"))</f>
        <v/>
      </c>
      <c r="F22" s="13" t="n"/>
      <c r="G22" s="12" t="n"/>
      <c r="H22" s="14">
        <f>IF(F22="","",F22*G22)</f>
        <v/>
      </c>
      <c r="I22" s="12" t="n"/>
      <c r="J22" s="14">
        <f>IF(F22="","",H22-I22)</f>
        <v/>
      </c>
      <c r="K22" s="10" t="n"/>
    </row>
    <row r="23">
      <c r="A23" s="11" t="n"/>
      <c r="B23" s="10" t="n"/>
      <c r="C23" s="10" t="n"/>
      <c r="D23" s="10" t="n"/>
      <c r="E23" s="15">
        <f>IF(D23="","",IFERROR(XLOOKUP(D23,tblProducts[Kod],tblProducts[Nomi]),"-"))</f>
        <v/>
      </c>
      <c r="F23" s="13" t="n"/>
      <c r="G23" s="12" t="n"/>
      <c r="H23" s="14">
        <f>IF(F23="","",F23*G23)</f>
        <v/>
      </c>
      <c r="I23" s="12" t="n"/>
      <c r="J23" s="14">
        <f>IF(F23="","",H23-I23)</f>
        <v/>
      </c>
      <c r="K23" s="10" t="n"/>
    </row>
    <row r="24">
      <c r="A24" s="11" t="n"/>
      <c r="B24" s="10" t="n"/>
      <c r="C24" s="10" t="n"/>
      <c r="D24" s="10" t="n"/>
      <c r="E24" s="15">
        <f>IF(D24="","",IFERROR(XLOOKUP(D24,tblProducts[Kod],tblProducts[Nomi]),"-"))</f>
        <v/>
      </c>
      <c r="F24" s="13" t="n"/>
      <c r="G24" s="12" t="n"/>
      <c r="H24" s="14">
        <f>IF(F24="","",F24*G24)</f>
        <v/>
      </c>
      <c r="I24" s="12" t="n"/>
      <c r="J24" s="14">
        <f>IF(F24="","",H24-I24)</f>
        <v/>
      </c>
      <c r="K24" s="10" t="n"/>
    </row>
    <row r="25">
      <c r="A25" s="11" t="n"/>
      <c r="B25" s="10" t="n"/>
      <c r="C25" s="10" t="n"/>
      <c r="D25" s="10" t="n"/>
      <c r="E25" s="15">
        <f>IF(D25="","",IFERROR(XLOOKUP(D25,tblProducts[Kod],tblProducts[Nomi]),"-"))</f>
        <v/>
      </c>
      <c r="F25" s="13" t="n"/>
      <c r="G25" s="12" t="n"/>
      <c r="H25" s="14">
        <f>IF(F25="","",F25*G25)</f>
        <v/>
      </c>
      <c r="I25" s="12" t="n"/>
      <c r="J25" s="14">
        <f>IF(F25="","",H25-I25)</f>
        <v/>
      </c>
      <c r="K25" s="10" t="n"/>
    </row>
    <row r="26">
      <c r="A26" s="11" t="n"/>
      <c r="B26" s="10" t="n"/>
      <c r="C26" s="10" t="n"/>
      <c r="D26" s="10" t="n"/>
      <c r="E26" s="15">
        <f>IF(D26="","",IFERROR(XLOOKUP(D26,tblProducts[Kod],tblProducts[Nomi]),"-"))</f>
        <v/>
      </c>
      <c r="F26" s="13" t="n"/>
      <c r="G26" s="12" t="n"/>
      <c r="H26" s="14">
        <f>IF(F26="","",F26*G26)</f>
        <v/>
      </c>
      <c r="I26" s="12" t="n"/>
      <c r="J26" s="14">
        <f>IF(F26="","",H26-I26)</f>
        <v/>
      </c>
      <c r="K26" s="10" t="n"/>
    </row>
    <row r="27">
      <c r="A27" s="11" t="n"/>
      <c r="B27" s="10" t="n"/>
      <c r="C27" s="10" t="n"/>
      <c r="D27" s="10" t="n"/>
      <c r="E27" s="15">
        <f>IF(D27="","",IFERROR(XLOOKUP(D27,tblProducts[Kod],tblProducts[Nomi]),"-"))</f>
        <v/>
      </c>
      <c r="F27" s="13" t="n"/>
      <c r="G27" s="12" t="n"/>
      <c r="H27" s="14">
        <f>IF(F27="","",F27*G27)</f>
        <v/>
      </c>
      <c r="I27" s="12" t="n"/>
      <c r="J27" s="14">
        <f>IF(F27="","",H27-I27)</f>
        <v/>
      </c>
      <c r="K27" s="10" t="n"/>
    </row>
    <row r="28">
      <c r="A28" s="11" t="n"/>
      <c r="B28" s="10" t="n"/>
      <c r="C28" s="10" t="n"/>
      <c r="D28" s="10" t="n"/>
      <c r="E28" s="15">
        <f>IF(D28="","",IFERROR(XLOOKUP(D28,tblProducts[Kod],tblProducts[Nomi]),"-"))</f>
        <v/>
      </c>
      <c r="F28" s="13" t="n"/>
      <c r="G28" s="12" t="n"/>
      <c r="H28" s="14">
        <f>IF(F28="","",F28*G28)</f>
        <v/>
      </c>
      <c r="I28" s="12" t="n"/>
      <c r="J28" s="14">
        <f>IF(F28="","",H28-I28)</f>
        <v/>
      </c>
      <c r="K28" s="10" t="n"/>
    </row>
    <row r="29">
      <c r="A29" s="11" t="n"/>
      <c r="B29" s="10" t="n"/>
      <c r="C29" s="10" t="n"/>
      <c r="D29" s="10" t="n"/>
      <c r="E29" s="15">
        <f>IF(D29="","",IFERROR(XLOOKUP(D29,tblProducts[Kod],tblProducts[Nomi]),"-"))</f>
        <v/>
      </c>
      <c r="F29" s="13" t="n"/>
      <c r="G29" s="12" t="n"/>
      <c r="H29" s="14">
        <f>IF(F29="","",F29*G29)</f>
        <v/>
      </c>
      <c r="I29" s="12" t="n"/>
      <c r="J29" s="14">
        <f>IF(F29="","",H29-I29)</f>
        <v/>
      </c>
      <c r="K29" s="10" t="n"/>
    </row>
    <row r="30">
      <c r="A30" s="11" t="n"/>
      <c r="B30" s="10" t="n"/>
      <c r="C30" s="10" t="n"/>
      <c r="D30" s="10" t="n"/>
      <c r="E30" s="15">
        <f>IF(D30="","",IFERROR(XLOOKUP(D30,tblProducts[Kod],tblProducts[Nomi]),"-"))</f>
        <v/>
      </c>
      <c r="F30" s="13" t="n"/>
      <c r="G30" s="12" t="n"/>
      <c r="H30" s="14">
        <f>IF(F30="","",F30*G30)</f>
        <v/>
      </c>
      <c r="I30" s="12" t="n"/>
      <c r="J30" s="14">
        <f>IF(F30="","",H30-I30)</f>
        <v/>
      </c>
      <c r="K30" s="10" t="n"/>
    </row>
    <row r="31">
      <c r="A31" s="11" t="n"/>
      <c r="B31" s="10" t="n"/>
      <c r="C31" s="10" t="n"/>
      <c r="D31" s="10" t="n"/>
      <c r="E31" s="15">
        <f>IF(D31="","",IFERROR(XLOOKUP(D31,tblProducts[Kod],tblProducts[Nomi]),"-"))</f>
        <v/>
      </c>
      <c r="F31" s="13" t="n"/>
      <c r="G31" s="12" t="n"/>
      <c r="H31" s="14">
        <f>IF(F31="","",F31*G31)</f>
        <v/>
      </c>
      <c r="I31" s="12" t="n"/>
      <c r="J31" s="14">
        <f>IF(F31="","",H31-I31)</f>
        <v/>
      </c>
      <c r="K31" s="10" t="n"/>
    </row>
    <row r="32">
      <c r="A32" s="11" t="n"/>
      <c r="B32" s="10" t="n"/>
      <c r="C32" s="10" t="n"/>
      <c r="D32" s="10" t="n"/>
      <c r="E32" s="15">
        <f>IF(D32="","",IFERROR(XLOOKUP(D32,tblProducts[Kod],tblProducts[Nomi]),"-"))</f>
        <v/>
      </c>
      <c r="F32" s="13" t="n"/>
      <c r="G32" s="12" t="n"/>
      <c r="H32" s="14">
        <f>IF(F32="","",F32*G32)</f>
        <v/>
      </c>
      <c r="I32" s="12" t="n"/>
      <c r="J32" s="14">
        <f>IF(F32="","",H32-I32)</f>
        <v/>
      </c>
      <c r="K32" s="10" t="n"/>
    </row>
    <row r="33">
      <c r="A33" s="11" t="n"/>
      <c r="B33" s="10" t="n"/>
      <c r="C33" s="10" t="n"/>
      <c r="D33" s="10" t="n"/>
      <c r="E33" s="15">
        <f>IF(D33="","",IFERROR(XLOOKUP(D33,tblProducts[Kod],tblProducts[Nomi]),"-"))</f>
        <v/>
      </c>
      <c r="F33" s="13" t="n"/>
      <c r="G33" s="12" t="n"/>
      <c r="H33" s="14">
        <f>IF(F33="","",F33*G33)</f>
        <v/>
      </c>
      <c r="I33" s="12" t="n"/>
      <c r="J33" s="14">
        <f>IF(F33="","",H33-I33)</f>
        <v/>
      </c>
      <c r="K33" s="10" t="n"/>
    </row>
    <row r="34">
      <c r="A34" s="11" t="n"/>
      <c r="B34" s="10" t="n"/>
      <c r="C34" s="10" t="n"/>
      <c r="D34" s="10" t="n"/>
      <c r="E34" s="15">
        <f>IF(D34="","",IFERROR(XLOOKUP(D34,tblProducts[Kod],tblProducts[Nomi]),"-"))</f>
        <v/>
      </c>
      <c r="F34" s="13" t="n"/>
      <c r="G34" s="12" t="n"/>
      <c r="H34" s="14">
        <f>IF(F34="","",F34*G34)</f>
        <v/>
      </c>
      <c r="I34" s="12" t="n"/>
      <c r="J34" s="14">
        <f>IF(F34="","",H34-I34)</f>
        <v/>
      </c>
      <c r="K34" s="10" t="n"/>
    </row>
    <row r="35">
      <c r="A35" s="11" t="n"/>
      <c r="B35" s="10" t="n"/>
      <c r="C35" s="10" t="n"/>
      <c r="D35" s="10" t="n"/>
      <c r="E35" s="15">
        <f>IF(D35="","",IFERROR(XLOOKUP(D35,tblProducts[Kod],tblProducts[Nomi]),"-"))</f>
        <v/>
      </c>
      <c r="F35" s="13" t="n"/>
      <c r="G35" s="12" t="n"/>
      <c r="H35" s="14">
        <f>IF(F35="","",F35*G35)</f>
        <v/>
      </c>
      <c r="I35" s="12" t="n"/>
      <c r="J35" s="14">
        <f>IF(F35="","",H35-I35)</f>
        <v/>
      </c>
      <c r="K35" s="10" t="n"/>
    </row>
    <row r="36">
      <c r="A36" s="11" t="n"/>
      <c r="B36" s="10" t="n"/>
      <c r="C36" s="10" t="n"/>
      <c r="D36" s="10" t="n"/>
      <c r="E36" s="15">
        <f>IF(D36="","",IFERROR(XLOOKUP(D36,tblProducts[Kod],tblProducts[Nomi]),"-"))</f>
        <v/>
      </c>
      <c r="F36" s="13" t="n"/>
      <c r="G36" s="12" t="n"/>
      <c r="H36" s="14">
        <f>IF(F36="","",F36*G36)</f>
        <v/>
      </c>
      <c r="I36" s="12" t="n"/>
      <c r="J36" s="14">
        <f>IF(F36="","",H36-I36)</f>
        <v/>
      </c>
      <c r="K36" s="10" t="n"/>
    </row>
    <row r="37">
      <c r="A37" s="11" t="n"/>
      <c r="B37" s="10" t="n"/>
      <c r="C37" s="10" t="n"/>
      <c r="D37" s="10" t="n"/>
      <c r="E37" s="15">
        <f>IF(D37="","",IFERROR(XLOOKUP(D37,tblProducts[Kod],tblProducts[Nomi]),"-"))</f>
        <v/>
      </c>
      <c r="F37" s="13" t="n"/>
      <c r="G37" s="12" t="n"/>
      <c r="H37" s="14">
        <f>IF(F37="","",F37*G37)</f>
        <v/>
      </c>
      <c r="I37" s="12" t="n"/>
      <c r="J37" s="14">
        <f>IF(F37="","",H37-I37)</f>
        <v/>
      </c>
      <c r="K37" s="10" t="n"/>
    </row>
    <row r="38">
      <c r="A38" s="11" t="n"/>
      <c r="B38" s="10" t="n"/>
      <c r="C38" s="10" t="n"/>
      <c r="D38" s="10" t="n"/>
      <c r="E38" s="15">
        <f>IF(D38="","",IFERROR(XLOOKUP(D38,tblProducts[Kod],tblProducts[Nomi]),"-"))</f>
        <v/>
      </c>
      <c r="F38" s="13" t="n"/>
      <c r="G38" s="12" t="n"/>
      <c r="H38" s="14">
        <f>IF(F38="","",F38*G38)</f>
        <v/>
      </c>
      <c r="I38" s="12" t="n"/>
      <c r="J38" s="14">
        <f>IF(F38="","",H38-I38)</f>
        <v/>
      </c>
      <c r="K38" s="10" t="n"/>
    </row>
    <row r="39">
      <c r="A39" s="11" t="n"/>
      <c r="B39" s="10" t="n"/>
      <c r="C39" s="10" t="n"/>
      <c r="D39" s="10" t="n"/>
      <c r="E39" s="15">
        <f>IF(D39="","",IFERROR(XLOOKUP(D39,tblProducts[Kod],tblProducts[Nomi]),"-"))</f>
        <v/>
      </c>
      <c r="F39" s="13" t="n"/>
      <c r="G39" s="12" t="n"/>
      <c r="H39" s="14">
        <f>IF(F39="","",F39*G39)</f>
        <v/>
      </c>
      <c r="I39" s="12" t="n"/>
      <c r="J39" s="14">
        <f>IF(F39="","",H39-I39)</f>
        <v/>
      </c>
      <c r="K39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4" customWidth="1" min="4" max="4"/>
    <col width="30" customWidth="1" min="5" max="5"/>
    <col width="10" customWidth="1" min="6" max="6"/>
    <col width="19" customWidth="1" min="7" max="7"/>
    <col width="16" customWidth="1" min="8" max="8"/>
    <col width="24" customWidth="1" min="9" max="9"/>
    <col width="25" customWidth="1" min="10" max="10"/>
    <col width="10" customWidth="1" min="11" max="11"/>
  </cols>
  <sheetData>
    <row r="1">
      <c r="A1" s="1" t="inlineStr">
        <is>
          <t>Qaytarishlar (Returns) - sof foydaga ta'sir</t>
        </is>
      </c>
    </row>
    <row r="2">
      <c r="A2" s="2" t="inlineStr">
        <is>
          <t>Net Profit: Gross - Returns_Revenue + Returns_COGS - Expenses - Commission (POS formula).</t>
        </is>
      </c>
    </row>
    <row r="3"/>
    <row r="4" ht="32" customHeight="1">
      <c r="A4" s="9" t="inlineStr">
        <is>
          <t>Sana</t>
        </is>
      </c>
      <c r="B4" s="9" t="inlineStr">
        <is>
          <t>Qaytarish_N</t>
        </is>
      </c>
      <c r="C4" s="9" t="inlineStr">
        <is>
          <t>Asl_chek</t>
        </is>
      </c>
      <c r="D4" s="9" t="inlineStr">
        <is>
          <t>Mahsulot_kod</t>
        </is>
      </c>
      <c r="E4" s="9" t="inlineStr">
        <is>
          <t>Mahsulot_nomi</t>
        </is>
      </c>
      <c r="F4" s="9" t="inlineStr">
        <is>
          <t>Miqdor</t>
        </is>
      </c>
      <c r="G4" s="9" t="inlineStr">
        <is>
          <t>Qaytarilgan_summa</t>
        </is>
      </c>
      <c r="H4" s="9" t="inlineStr">
        <is>
          <t>Birlik_tannarx</t>
        </is>
      </c>
      <c r="I4" s="9" t="inlineStr">
        <is>
          <t>Returns_COGS</t>
        </is>
      </c>
      <c r="J4" s="9" t="inlineStr">
        <is>
          <t>Foyda_ta'siri</t>
        </is>
      </c>
      <c r="K4" s="9" t="inlineStr">
        <is>
          <t>Izoh</t>
        </is>
      </c>
    </row>
    <row r="5">
      <c r="A5" s="11" t="n">
        <v>46242</v>
      </c>
      <c r="B5" s="10" t="inlineStr">
        <is>
          <t>R-01</t>
        </is>
      </c>
      <c r="C5" s="10" t="inlineStr">
        <is>
          <t>S-1002</t>
        </is>
      </c>
      <c r="D5" s="10" t="inlineStr">
        <is>
          <t>PRD-002</t>
        </is>
      </c>
      <c r="E5" s="15">
        <f>IF(D5="","",IFERROR(XLOOKUP(D5,tblProducts[Kod],tblProducts[Nomi]),"-"))</f>
        <v/>
      </c>
      <c r="F5" s="13" t="n">
        <v>1</v>
      </c>
      <c r="G5" s="12" t="n">
        <v>22000</v>
      </c>
      <c r="H5" s="12" t="n">
        <v>18000</v>
      </c>
      <c r="I5" s="14">
        <f>F5*H5</f>
        <v/>
      </c>
      <c r="J5" s="14">
        <f>-G5+I5</f>
        <v/>
      </c>
      <c r="K5" s="10" t="inlineStr">
        <is>
          <t>Buzilgan</t>
        </is>
      </c>
    </row>
    <row r="6">
      <c r="A6" s="11" t="n">
        <v>46250</v>
      </c>
      <c r="B6" s="10" t="inlineStr">
        <is>
          <t>R-02</t>
        </is>
      </c>
      <c r="C6" s="10" t="inlineStr">
        <is>
          <t>S-1007</t>
        </is>
      </c>
      <c r="D6" s="10" t="inlineStr">
        <is>
          <t>PRD-003</t>
        </is>
      </c>
      <c r="E6" s="15">
        <f>IF(D6="","",IFERROR(XLOOKUP(D6,tblProducts[Kod],tblProducts[Nomi]),"-"))</f>
        <v/>
      </c>
      <c r="F6" s="13" t="n">
        <v>2</v>
      </c>
      <c r="G6" s="12" t="n">
        <v>10000</v>
      </c>
      <c r="H6" s="12" t="n">
        <v>3500</v>
      </c>
      <c r="I6" s="14">
        <f>F6*H6</f>
        <v/>
      </c>
      <c r="J6" s="14">
        <f>-G6+I6</f>
        <v/>
      </c>
      <c r="K6" s="10" t="inlineStr"/>
    </row>
    <row r="7">
      <c r="A7" s="11" t="n"/>
      <c r="B7" s="10" t="n"/>
      <c r="C7" s="10" t="n"/>
      <c r="D7" s="10" t="n"/>
      <c r="E7" s="15">
        <f>IF(D7="","",IFERROR(XLOOKUP(D7,tblProducts[Kod],tblProducts[Nomi]),"-"))</f>
        <v/>
      </c>
      <c r="F7" s="13" t="n"/>
      <c r="G7" s="12" t="n"/>
      <c r="H7" s="12" t="n"/>
      <c r="I7" s="14">
        <f>IF(F7="","",F7*H7)</f>
        <v/>
      </c>
      <c r="J7" s="14">
        <f>IF(F7="","",-G7+I7)</f>
        <v/>
      </c>
      <c r="K7" s="10" t="n"/>
    </row>
    <row r="8">
      <c r="A8" s="11" t="n"/>
      <c r="B8" s="10" t="n"/>
      <c r="C8" s="10" t="n"/>
      <c r="D8" s="10" t="n"/>
      <c r="E8" s="15">
        <f>IF(D8="","",IFERROR(XLOOKUP(D8,tblProducts[Kod],tblProducts[Nomi]),"-"))</f>
        <v/>
      </c>
      <c r="F8" s="13" t="n"/>
      <c r="G8" s="12" t="n"/>
      <c r="H8" s="12" t="n"/>
      <c r="I8" s="14">
        <f>IF(F8="","",F8*H8)</f>
        <v/>
      </c>
      <c r="J8" s="14">
        <f>IF(F8="","",-G8+I8)</f>
        <v/>
      </c>
      <c r="K8" s="10" t="n"/>
    </row>
    <row r="9">
      <c r="A9" s="11" t="n"/>
      <c r="B9" s="10" t="n"/>
      <c r="C9" s="10" t="n"/>
      <c r="D9" s="10" t="n"/>
      <c r="E9" s="15">
        <f>IF(D9="","",IFERROR(XLOOKUP(D9,tblProducts[Kod],tblProducts[Nomi]),"-"))</f>
        <v/>
      </c>
      <c r="F9" s="13" t="n"/>
      <c r="G9" s="12" t="n"/>
      <c r="H9" s="12" t="n"/>
      <c r="I9" s="14">
        <f>IF(F9="","",F9*H9)</f>
        <v/>
      </c>
      <c r="J9" s="14">
        <f>IF(F9="","",-G9+I9)</f>
        <v/>
      </c>
      <c r="K9" s="10" t="n"/>
    </row>
    <row r="10">
      <c r="A10" s="11" t="n"/>
      <c r="B10" s="10" t="n"/>
      <c r="C10" s="10" t="n"/>
      <c r="D10" s="10" t="n"/>
      <c r="E10" s="15">
        <f>IF(D10="","",IFERROR(XLOOKUP(D10,tblProducts[Kod],tblProducts[Nomi]),"-"))</f>
        <v/>
      </c>
      <c r="F10" s="13" t="n"/>
      <c r="G10" s="12" t="n"/>
      <c r="H10" s="12" t="n"/>
      <c r="I10" s="14">
        <f>IF(F10="","",F10*H10)</f>
        <v/>
      </c>
      <c r="J10" s="14">
        <f>IF(F10="","",-G10+I10)</f>
        <v/>
      </c>
      <c r="K10" s="10" t="n"/>
    </row>
    <row r="11">
      <c r="A11" s="11" t="n"/>
      <c r="B11" s="10" t="n"/>
      <c r="C11" s="10" t="n"/>
      <c r="D11" s="10" t="n"/>
      <c r="E11" s="15">
        <f>IF(D11="","",IFERROR(XLOOKUP(D11,tblProducts[Kod],tblProducts[Nomi]),"-"))</f>
        <v/>
      </c>
      <c r="F11" s="13" t="n"/>
      <c r="G11" s="12" t="n"/>
      <c r="H11" s="12" t="n"/>
      <c r="I11" s="14">
        <f>IF(F11="","",F11*H11)</f>
        <v/>
      </c>
      <c r="J11" s="14">
        <f>IF(F11="","",-G11+I11)</f>
        <v/>
      </c>
      <c r="K11" s="10" t="n"/>
    </row>
    <row r="12">
      <c r="A12" s="11" t="n"/>
      <c r="B12" s="10" t="n"/>
      <c r="C12" s="10" t="n"/>
      <c r="D12" s="10" t="n"/>
      <c r="E12" s="15">
        <f>IF(D12="","",IFERROR(XLOOKUP(D12,tblProducts[Kod],tblProducts[Nomi]),"-"))</f>
        <v/>
      </c>
      <c r="F12" s="13" t="n"/>
      <c r="G12" s="12" t="n"/>
      <c r="H12" s="12" t="n"/>
      <c r="I12" s="14">
        <f>IF(F12="","",F12*H12)</f>
        <v/>
      </c>
      <c r="J12" s="14">
        <f>IF(F12="","",-G12+I12)</f>
        <v/>
      </c>
      <c r="K12" s="10" t="n"/>
    </row>
    <row r="13">
      <c r="A13" s="11" t="n"/>
      <c r="B13" s="10" t="n"/>
      <c r="C13" s="10" t="n"/>
      <c r="D13" s="10" t="n"/>
      <c r="E13" s="15">
        <f>IF(D13="","",IFERROR(XLOOKUP(D13,tblProducts[Kod],tblProducts[Nomi]),"-"))</f>
        <v/>
      </c>
      <c r="F13" s="13" t="n"/>
      <c r="G13" s="12" t="n"/>
      <c r="H13" s="12" t="n"/>
      <c r="I13" s="14">
        <f>IF(F13="","",F13*H13)</f>
        <v/>
      </c>
      <c r="J13" s="14">
        <f>IF(F13="","",-G13+I13)</f>
        <v/>
      </c>
      <c r="K13" s="10" t="n"/>
    </row>
    <row r="14">
      <c r="A14" s="11" t="n"/>
      <c r="B14" s="10" t="n"/>
      <c r="C14" s="10" t="n"/>
      <c r="D14" s="10" t="n"/>
      <c r="E14" s="15">
        <f>IF(D14="","",IFERROR(XLOOKUP(D14,tblProducts[Kod],tblProducts[Nomi]),"-"))</f>
        <v/>
      </c>
      <c r="F14" s="13" t="n"/>
      <c r="G14" s="12" t="n"/>
      <c r="H14" s="12" t="n"/>
      <c r="I14" s="14">
        <f>IF(F14="","",F14*H14)</f>
        <v/>
      </c>
      <c r="J14" s="14">
        <f>IF(F14="","",-G14+I14)</f>
        <v/>
      </c>
      <c r="K14" s="10" t="n"/>
    </row>
    <row r="15">
      <c r="A15" s="11" t="n"/>
      <c r="B15" s="10" t="n"/>
      <c r="C15" s="10" t="n"/>
      <c r="D15" s="10" t="n"/>
      <c r="E15" s="15">
        <f>IF(D15="","",IFERROR(XLOOKUP(D15,tblProducts[Kod],tblProducts[Nomi]),"-"))</f>
        <v/>
      </c>
      <c r="F15" s="13" t="n"/>
      <c r="G15" s="12" t="n"/>
      <c r="H15" s="12" t="n"/>
      <c r="I15" s="14">
        <f>IF(F15="","",F15*H15)</f>
        <v/>
      </c>
      <c r="J15" s="14">
        <f>IF(F15="","",-G15+I15)</f>
        <v/>
      </c>
      <c r="K15" s="10" t="n"/>
    </row>
    <row r="16">
      <c r="A16" s="11" t="n"/>
      <c r="B16" s="10" t="n"/>
      <c r="C16" s="10" t="n"/>
      <c r="D16" s="10" t="n"/>
      <c r="E16" s="15">
        <f>IF(D16="","",IFERROR(XLOOKUP(D16,tblProducts[Kod],tblProducts[Nomi]),"-"))</f>
        <v/>
      </c>
      <c r="F16" s="13" t="n"/>
      <c r="G16" s="12" t="n"/>
      <c r="H16" s="12" t="n"/>
      <c r="I16" s="14">
        <f>IF(F16="","",F16*H16)</f>
        <v/>
      </c>
      <c r="J16" s="14">
        <f>IF(F16="","",-G16+I16)</f>
        <v/>
      </c>
      <c r="K16" s="10" t="n"/>
    </row>
    <row r="17">
      <c r="A17" s="11" t="n"/>
      <c r="B17" s="10" t="n"/>
      <c r="C17" s="10" t="n"/>
      <c r="D17" s="10" t="n"/>
      <c r="E17" s="15">
        <f>IF(D17="","",IFERROR(XLOOKUP(D17,tblProducts[Kod],tblProducts[Nomi]),"-"))</f>
        <v/>
      </c>
      <c r="F17" s="13" t="n"/>
      <c r="G17" s="12" t="n"/>
      <c r="H17" s="12" t="n"/>
      <c r="I17" s="14">
        <f>IF(F17="","",F17*H17)</f>
        <v/>
      </c>
      <c r="J17" s="14">
        <f>IF(F17="","",-G17+I17)</f>
        <v/>
      </c>
      <c r="K17" s="10" t="n"/>
    </row>
    <row r="18">
      <c r="A18" s="11" t="n"/>
      <c r="B18" s="10" t="n"/>
      <c r="C18" s="10" t="n"/>
      <c r="D18" s="10" t="n"/>
      <c r="E18" s="15">
        <f>IF(D18="","",IFERROR(XLOOKUP(D18,tblProducts[Kod],tblProducts[Nomi]),"-"))</f>
        <v/>
      </c>
      <c r="F18" s="13" t="n"/>
      <c r="G18" s="12" t="n"/>
      <c r="H18" s="12" t="n"/>
      <c r="I18" s="14">
        <f>IF(F18="","",F18*H18)</f>
        <v/>
      </c>
      <c r="J18" s="14">
        <f>IF(F18="","",-G18+I18)</f>
        <v/>
      </c>
      <c r="K18" s="10" t="n"/>
    </row>
    <row r="19">
      <c r="A19" s="11" t="n"/>
      <c r="B19" s="10" t="n"/>
      <c r="C19" s="10" t="n"/>
      <c r="D19" s="10" t="n"/>
      <c r="E19" s="15">
        <f>IF(D19="","",IFERROR(XLOOKUP(D19,tblProducts[Kod],tblProducts[Nomi]),"-"))</f>
        <v/>
      </c>
      <c r="F19" s="13" t="n"/>
      <c r="G19" s="12" t="n"/>
      <c r="H19" s="12" t="n"/>
      <c r="I19" s="14">
        <f>IF(F19="","",F19*H19)</f>
        <v/>
      </c>
      <c r="J19" s="14">
        <f>IF(F19="","",-G19+I19)</f>
        <v/>
      </c>
      <c r="K19" s="10" t="n"/>
    </row>
    <row r="20">
      <c r="A20" s="11" t="n"/>
      <c r="B20" s="10" t="n"/>
      <c r="C20" s="10" t="n"/>
      <c r="D20" s="10" t="n"/>
      <c r="E20" s="15">
        <f>IF(D20="","",IFERROR(XLOOKUP(D20,tblProducts[Kod],tblProducts[Nomi]),"-"))</f>
        <v/>
      </c>
      <c r="F20" s="13" t="n"/>
      <c r="G20" s="12" t="n"/>
      <c r="H20" s="12" t="n"/>
      <c r="I20" s="14">
        <f>IF(F20="","",F20*H20)</f>
        <v/>
      </c>
      <c r="J20" s="14">
        <f>IF(F20="","",-G20+I20)</f>
        <v/>
      </c>
      <c r="K20" s="10" t="n"/>
    </row>
    <row r="21">
      <c r="A21" s="11" t="n"/>
      <c r="B21" s="10" t="n"/>
      <c r="C21" s="10" t="n"/>
      <c r="D21" s="10" t="n"/>
      <c r="E21" s="15">
        <f>IF(D21="","",IFERROR(XLOOKUP(D21,tblProducts[Kod],tblProducts[Nomi]),"-"))</f>
        <v/>
      </c>
      <c r="F21" s="13" t="n"/>
      <c r="G21" s="12" t="n"/>
      <c r="H21" s="12" t="n"/>
      <c r="I21" s="14">
        <f>IF(F21="","",F21*H21)</f>
        <v/>
      </c>
      <c r="J21" s="14">
        <f>IF(F21="","",-G21+I21)</f>
        <v/>
      </c>
      <c r="K21" s="10" t="n"/>
    </row>
    <row r="22">
      <c r="A22" s="11" t="n"/>
      <c r="B22" s="10" t="n"/>
      <c r="C22" s="10" t="n"/>
      <c r="D22" s="10" t="n"/>
      <c r="E22" s="15">
        <f>IF(D22="","",IFERROR(XLOOKUP(D22,tblProducts[Kod],tblProducts[Nomi]),"-"))</f>
        <v/>
      </c>
      <c r="F22" s="13" t="n"/>
      <c r="G22" s="12" t="n"/>
      <c r="H22" s="12" t="n"/>
      <c r="I22" s="14">
        <f>IF(F22="","",F22*H22)</f>
        <v/>
      </c>
      <c r="J22" s="14">
        <f>IF(F22="","",-G22+I22)</f>
        <v/>
      </c>
      <c r="K22" s="10" t="n"/>
    </row>
    <row r="23">
      <c r="A23" s="11" t="n"/>
      <c r="B23" s="10" t="n"/>
      <c r="C23" s="10" t="n"/>
      <c r="D23" s="10" t="n"/>
      <c r="E23" s="15">
        <f>IF(D23="","",IFERROR(XLOOKUP(D23,tblProducts[Kod],tblProducts[Nomi]),"-"))</f>
        <v/>
      </c>
      <c r="F23" s="13" t="n"/>
      <c r="G23" s="12" t="n"/>
      <c r="H23" s="12" t="n"/>
      <c r="I23" s="14">
        <f>IF(F23="","",F23*H23)</f>
        <v/>
      </c>
      <c r="J23" s="14">
        <f>IF(F23="","",-G23+I23)</f>
        <v/>
      </c>
      <c r="K23" s="10" t="n"/>
    </row>
    <row r="24">
      <c r="A24" s="11" t="n"/>
      <c r="B24" s="10" t="n"/>
      <c r="C24" s="10" t="n"/>
      <c r="D24" s="10" t="n"/>
      <c r="E24" s="15">
        <f>IF(D24="","",IFERROR(XLOOKUP(D24,tblProducts[Kod],tblProducts[Nomi]),"-"))</f>
        <v/>
      </c>
      <c r="F24" s="13" t="n"/>
      <c r="G24" s="12" t="n"/>
      <c r="H24" s="12" t="n"/>
      <c r="I24" s="14">
        <f>IF(F24="","",F24*H24)</f>
        <v/>
      </c>
      <c r="J24" s="14">
        <f>IF(F24="","",-G24+I24)</f>
        <v/>
      </c>
      <c r="K24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0" customWidth="1" min="4" max="4"/>
    <col width="11" customWidth="1" min="5" max="5"/>
    <col width="13" customWidth="1" min="6" max="6"/>
    <col width="17" customWidth="1" min="7" max="7"/>
    <col width="30" customWidth="1" min="8" max="8"/>
    <col width="24" customWidth="1" min="9" max="9"/>
    <col width="15" customWidth="1" min="10" max="10"/>
    <col width="10" customWidth="1" min="11" max="11"/>
  </cols>
  <sheetData>
    <row r="1">
      <c r="A1" s="1" t="inlineStr">
        <is>
          <t>To'lovlar / Kassa (Payment methods)</t>
        </is>
      </c>
    </row>
    <row r="2">
      <c r="A2" s="2" t="inlineStr">
        <is>
          <t>Usul: cash, card, transfer, uzcard, humo, click, payme, credit. Komissiya = foiz×summa + fixed.</t>
        </is>
      </c>
    </row>
    <row r="3"/>
    <row r="4" ht="32" customHeight="1">
      <c r="A4" s="9" t="inlineStr">
        <is>
          <t>Sana</t>
        </is>
      </c>
      <c r="B4" s="9" t="inlineStr">
        <is>
          <t>Chek_N</t>
        </is>
      </c>
      <c r="C4" s="9" t="inlineStr">
        <is>
          <t>Usul</t>
        </is>
      </c>
      <c r="D4" s="9" t="inlineStr">
        <is>
          <t>Guruh</t>
        </is>
      </c>
      <c r="E4" s="9" t="inlineStr">
        <is>
          <t>Summa_UZS</t>
        </is>
      </c>
      <c r="F4" s="9" t="inlineStr">
        <is>
          <t>Komissiya_%</t>
        </is>
      </c>
      <c r="G4" s="9" t="inlineStr">
        <is>
          <t>Komissiya_fixed</t>
        </is>
      </c>
      <c r="H4" s="9" t="inlineStr">
        <is>
          <t>Komissiya</t>
        </is>
      </c>
      <c r="I4" s="9" t="inlineStr">
        <is>
          <t>Sof_kassa</t>
        </is>
      </c>
      <c r="J4" s="9" t="inlineStr">
        <is>
          <t>Mijoz</t>
        </is>
      </c>
      <c r="K4" s="9" t="inlineStr">
        <is>
          <t>Izoh</t>
        </is>
      </c>
    </row>
    <row r="5">
      <c r="A5" s="11" t="n">
        <v>46235</v>
      </c>
      <c r="B5" s="10" t="inlineStr">
        <is>
          <t>S-1001</t>
        </is>
      </c>
      <c r="C5" s="10" t="inlineStr">
        <is>
          <t>cash</t>
        </is>
      </c>
      <c r="D5" s="15">
        <f>IF(C5="","",IF(OR(C5="cash",C5="naqd"),"cash",IF(OR(C5="credit",C5="on_credit"),"credit","bank")))</f>
        <v/>
      </c>
      <c r="E5" s="12" t="n">
        <v>145000</v>
      </c>
      <c r="F5" s="19" t="n">
        <v>0</v>
      </c>
      <c r="G5" s="12" t="n">
        <v>0</v>
      </c>
      <c r="H5" s="14">
        <f>IF(OR(C5="credit",C5="on_credit"),0,E5*F5+G5)</f>
        <v/>
      </c>
      <c r="I5" s="14">
        <f>E5-H5</f>
        <v/>
      </c>
      <c r="J5" s="10" t="inlineStr">
        <is>
          <t>Mijoz 1</t>
        </is>
      </c>
      <c r="K5" s="10" t="inlineStr"/>
    </row>
    <row r="6">
      <c r="A6" s="11" t="n">
        <v>46235</v>
      </c>
      <c r="B6" s="10" t="inlineStr">
        <is>
          <t>S-1001</t>
        </is>
      </c>
      <c r="C6" s="10" t="inlineStr">
        <is>
          <t>credit</t>
        </is>
      </c>
      <c r="D6" s="15">
        <f>IF(C6="","",IF(OR(C6="cash",C6="naqd"),"cash",IF(OR(C6="credit",C6="on_credit"),"credit","bank")))</f>
        <v/>
      </c>
      <c r="E6" s="12" t="n">
        <v>20000</v>
      </c>
      <c r="F6" s="19" t="n">
        <v>0</v>
      </c>
      <c r="G6" s="12" t="n">
        <v>0</v>
      </c>
      <c r="H6" s="14">
        <f>IF(OR(C6="credit",C6="on_credit"),0,E6*F6+G6)</f>
        <v/>
      </c>
      <c r="I6" s="14">
        <f>E6-H6</f>
        <v/>
      </c>
      <c r="J6" s="10" t="inlineStr">
        <is>
          <t>Nasiya</t>
        </is>
      </c>
      <c r="K6" s="10" t="inlineStr"/>
    </row>
    <row r="7">
      <c r="A7" s="11" t="n">
        <v>46236</v>
      </c>
      <c r="B7" s="10" t="inlineStr">
        <is>
          <t>S-1002</t>
        </is>
      </c>
      <c r="C7" s="10" t="inlineStr">
        <is>
          <t>uzcard</t>
        </is>
      </c>
      <c r="D7" s="15">
        <f>IF(C7="","",IF(OR(C7="cash",C7="naqd"),"cash",IF(OR(C7="credit",C7="on_credit"),"credit","bank")))</f>
        <v/>
      </c>
      <c r="E7" s="12" t="n">
        <v>110000</v>
      </c>
      <c r="F7" s="19" t="n">
        <v>0.01</v>
      </c>
      <c r="G7" s="12" t="n">
        <v>0</v>
      </c>
      <c r="H7" s="14">
        <f>IF(OR(C7="credit",C7="on_credit"),0,E7*F7+G7)</f>
        <v/>
      </c>
      <c r="I7" s="14">
        <f>E7-H7</f>
        <v/>
      </c>
      <c r="J7" s="10" t="inlineStr"/>
      <c r="K7" s="10" t="inlineStr"/>
    </row>
    <row r="8">
      <c r="A8" s="11" t="n">
        <v>46239</v>
      </c>
      <c r="B8" s="10" t="inlineStr">
        <is>
          <t>S-1003</t>
        </is>
      </c>
      <c r="C8" s="10" t="inlineStr">
        <is>
          <t>cash</t>
        </is>
      </c>
      <c r="D8" s="15">
        <f>IF(C8="","",IF(OR(C8="cash",C8="naqd"),"cash",IF(OR(C8="credit",C8="on_credit"),"credit","bank")))</f>
        <v/>
      </c>
      <c r="E8" s="12" t="n">
        <v>78000</v>
      </c>
      <c r="F8" s="19" t="n">
        <v>0</v>
      </c>
      <c r="G8" s="12" t="n">
        <v>0</v>
      </c>
      <c r="H8" s="14">
        <f>IF(OR(C8="credit",C8="on_credit"),0,E8*F8+G8)</f>
        <v/>
      </c>
      <c r="I8" s="14">
        <f>E8-H8</f>
        <v/>
      </c>
      <c r="J8" s="10" t="inlineStr"/>
      <c r="K8" s="10" t="inlineStr"/>
    </row>
    <row r="9">
      <c r="A9" s="11" t="n">
        <v>46241</v>
      </c>
      <c r="B9" s="10" t="inlineStr">
        <is>
          <t>S-1004</t>
        </is>
      </c>
      <c r="C9" s="10" t="inlineStr">
        <is>
          <t>payme</t>
        </is>
      </c>
      <c r="D9" s="15">
        <f>IF(C9="","",IF(OR(C9="cash",C9="naqd"),"cash",IF(OR(C9="credit",C9="on_credit"),"credit","bank")))</f>
        <v/>
      </c>
      <c r="E9" s="12" t="n">
        <v>90000</v>
      </c>
      <c r="F9" s="19" t="n">
        <v>0.015</v>
      </c>
      <c r="G9" s="12" t="n">
        <v>0</v>
      </c>
      <c r="H9" s="14">
        <f>IF(OR(C9="credit",C9="on_credit"),0,E9*F9+G9)</f>
        <v/>
      </c>
      <c r="I9" s="14">
        <f>E9-H9</f>
        <v/>
      </c>
      <c r="J9" s="10" t="inlineStr">
        <is>
          <t>Web</t>
        </is>
      </c>
      <c r="K9" s="10" t="inlineStr"/>
    </row>
    <row r="10">
      <c r="A10" s="11" t="n">
        <v>46244</v>
      </c>
      <c r="B10" s="10" t="inlineStr">
        <is>
          <t>S-1005</t>
        </is>
      </c>
      <c r="C10" s="10" t="inlineStr">
        <is>
          <t>humo</t>
        </is>
      </c>
      <c r="D10" s="15">
        <f>IF(C10="","",IF(OR(C10="cash",C10="naqd"),"cash",IF(OR(C10="credit",C10="on_credit"),"credit","bank")))</f>
        <v/>
      </c>
      <c r="E10" s="12" t="n">
        <v>160000</v>
      </c>
      <c r="F10" s="19" t="n">
        <v>0.01</v>
      </c>
      <c r="G10" s="12" t="n">
        <v>0</v>
      </c>
      <c r="H10" s="14">
        <f>IF(OR(C10="credit",C10="on_credit"),0,E10*F10+G10)</f>
        <v/>
      </c>
      <c r="I10" s="14">
        <f>E10-H10</f>
        <v/>
      </c>
      <c r="J10" s="10" t="inlineStr"/>
      <c r="K10" s="10" t="inlineStr"/>
    </row>
    <row r="11">
      <c r="A11" s="11" t="n">
        <v>46246</v>
      </c>
      <c r="B11" s="10" t="inlineStr">
        <is>
          <t>S-1006</t>
        </is>
      </c>
      <c r="C11" s="10" t="inlineStr">
        <is>
          <t>cash</t>
        </is>
      </c>
      <c r="D11" s="15">
        <f>IF(C11="","",IF(OR(C11="cash",C11="naqd"),"cash",IF(OR(C11="credit",C11="on_credit"),"credit","bank")))</f>
        <v/>
      </c>
      <c r="E11" s="12" t="n">
        <v>225000</v>
      </c>
      <c r="F11" s="19" t="n">
        <v>0</v>
      </c>
      <c r="G11" s="12" t="n">
        <v>0</v>
      </c>
      <c r="H11" s="14">
        <f>IF(OR(C11="credit",C11="on_credit"),0,E11*F11+G11)</f>
        <v/>
      </c>
      <c r="I11" s="14">
        <f>E11-H11</f>
        <v/>
      </c>
      <c r="J11" s="10" t="inlineStr">
        <is>
          <t>USD sotuv UZS</t>
        </is>
      </c>
      <c r="K11" s="10" t="inlineStr"/>
    </row>
    <row r="12">
      <c r="A12" s="11" t="n">
        <v>46249</v>
      </c>
      <c r="B12" s="10" t="inlineStr">
        <is>
          <t>S-1007</t>
        </is>
      </c>
      <c r="C12" s="10" t="inlineStr">
        <is>
          <t>card</t>
        </is>
      </c>
      <c r="D12" s="15">
        <f>IF(C12="","",IF(OR(C12="cash",C12="naqd"),"cash",IF(OR(C12="credit",C12="on_credit"),"credit","bank")))</f>
        <v/>
      </c>
      <c r="E12" s="12" t="n">
        <v>80000</v>
      </c>
      <c r="F12" s="19" t="n">
        <v>0.012</v>
      </c>
      <c r="G12" s="12" t="n">
        <v>500</v>
      </c>
      <c r="H12" s="14">
        <f>IF(OR(C12="credit",C12="on_credit"),0,E12*F12+G12)</f>
        <v/>
      </c>
      <c r="I12" s="14">
        <f>E12-H12</f>
        <v/>
      </c>
      <c r="J12" s="10" t="inlineStr"/>
      <c r="K12" s="10" t="inlineStr"/>
    </row>
    <row r="13">
      <c r="A13" s="11" t="n">
        <v>46249</v>
      </c>
      <c r="B13" s="10" t="inlineStr">
        <is>
          <t>S-1007</t>
        </is>
      </c>
      <c r="C13" s="10" t="inlineStr">
        <is>
          <t>credit</t>
        </is>
      </c>
      <c r="D13" s="15">
        <f>IF(C13="","",IF(OR(C13="cash",C13="naqd"),"cash",IF(OR(C13="credit",C13="on_credit"),"credit","bank")))</f>
        <v/>
      </c>
      <c r="E13" s="12" t="n">
        <v>16000</v>
      </c>
      <c r="F13" s="19" t="n">
        <v>0</v>
      </c>
      <c r="G13" s="12" t="n">
        <v>0</v>
      </c>
      <c r="H13" s="14">
        <f>IF(OR(C13="credit",C13="on_credit"),0,E13*F13+G13)</f>
        <v/>
      </c>
      <c r="I13" s="14">
        <f>E13-H13</f>
        <v/>
      </c>
      <c r="J13" s="10" t="inlineStr">
        <is>
          <t>Qisman</t>
        </is>
      </c>
      <c r="K13" s="10" t="inlineStr"/>
    </row>
    <row r="14">
      <c r="A14" s="11" t="n">
        <v>46252</v>
      </c>
      <c r="B14" s="10" t="inlineStr">
        <is>
          <t>S-1008</t>
        </is>
      </c>
      <c r="C14" s="10" t="inlineStr">
        <is>
          <t>click</t>
        </is>
      </c>
      <c r="D14" s="15">
        <f>IF(C14="","",IF(OR(C14="cash",C14="naqd"),"cash",IF(OR(C14="credit",C14="on_credit"),"credit","bank")))</f>
        <v/>
      </c>
      <c r="E14" s="12" t="n">
        <v>100000</v>
      </c>
      <c r="F14" s="19" t="n">
        <v>0.01</v>
      </c>
      <c r="G14" s="12" t="n">
        <v>0</v>
      </c>
      <c r="H14" s="14">
        <f>IF(OR(C14="credit",C14="on_credit"),0,E14*F14+G14)</f>
        <v/>
      </c>
      <c r="I14" s="14">
        <f>E14-H14</f>
        <v/>
      </c>
      <c r="J14" s="10" t="inlineStr"/>
      <c r="K14" s="10" t="inlineStr"/>
    </row>
    <row r="15">
      <c r="A15" s="11" t="n">
        <v>46254</v>
      </c>
      <c r="B15" s="10" t="inlineStr">
        <is>
          <t>S-1009</t>
        </is>
      </c>
      <c r="C15" s="10" t="inlineStr">
        <is>
          <t>transfer</t>
        </is>
      </c>
      <c r="D15" s="15">
        <f>IF(C15="","",IF(OR(C15="cash",C15="naqd"),"cash",IF(OR(C15="credit",C15="on_credit"),"credit","bank")))</f>
        <v/>
      </c>
      <c r="E15" s="12" t="n">
        <v>77000</v>
      </c>
      <c r="F15" s="19" t="n">
        <v>0</v>
      </c>
      <c r="G15" s="12" t="n">
        <v>0</v>
      </c>
      <c r="H15" s="14">
        <f>IF(OR(C15="credit",C15="on_credit"),0,E15*F15+G15)</f>
        <v/>
      </c>
      <c r="I15" s="14">
        <f>E15-H15</f>
        <v/>
      </c>
      <c r="J15" s="10" t="inlineStr"/>
      <c r="K15" s="10" t="inlineStr"/>
    </row>
    <row r="16">
      <c r="A16" s="11" t="n">
        <v>46256</v>
      </c>
      <c r="B16" s="10" t="inlineStr">
        <is>
          <t>CP-01</t>
        </is>
      </c>
      <c r="C16" s="10" t="inlineStr">
        <is>
          <t>cash</t>
        </is>
      </c>
      <c r="D16" s="15">
        <f>IF(C16="","",IF(OR(C16="cash",C16="naqd"),"cash",IF(OR(C16="credit",C16="on_credit"),"credit","bank")))</f>
        <v/>
      </c>
      <c r="E16" s="12" t="n">
        <v>50000</v>
      </c>
      <c r="F16" s="19" t="n">
        <v>0</v>
      </c>
      <c r="G16" s="12" t="n">
        <v>0</v>
      </c>
      <c r="H16" s="14">
        <f>IF(OR(C16="credit",C16="on_credit"),0,E16*F16+G16)</f>
        <v/>
      </c>
      <c r="I16" s="14">
        <f>E16-H16</f>
        <v/>
      </c>
      <c r="J16" s="10" t="inlineStr">
        <is>
          <t>Qarz undirish</t>
        </is>
      </c>
      <c r="K16" s="10" t="inlineStr"/>
    </row>
    <row r="17">
      <c r="A17" s="11" t="n"/>
      <c r="B17" s="10" t="n"/>
      <c r="C17" s="10" t="n"/>
      <c r="D17" s="15">
        <f>IF(C17="","",IF(OR(C17="cash",C17="naqd"),"cash",IF(OR(C17="credit",C17="on_credit"),"credit","bank")))</f>
        <v/>
      </c>
      <c r="E17" s="12" t="n"/>
      <c r="F17" s="19" t="n"/>
      <c r="G17" s="12" t="n"/>
      <c r="H17" s="14">
        <f>IF(C17="","",IF(OR(C17="credit",C17="on_credit"),0,E17*F17+G17))</f>
        <v/>
      </c>
      <c r="I17" s="14">
        <f>IF(C17="","",E17-H17)</f>
        <v/>
      </c>
      <c r="J17" s="10" t="n"/>
      <c r="K17" s="10" t="n"/>
    </row>
    <row r="18">
      <c r="A18" s="11" t="n"/>
      <c r="B18" s="10" t="n"/>
      <c r="C18" s="10" t="n"/>
      <c r="D18" s="15">
        <f>IF(C18="","",IF(OR(C18="cash",C18="naqd"),"cash",IF(OR(C18="credit",C18="on_credit"),"credit","bank")))</f>
        <v/>
      </c>
      <c r="E18" s="12" t="n"/>
      <c r="F18" s="19" t="n"/>
      <c r="G18" s="12" t="n"/>
      <c r="H18" s="14">
        <f>IF(C18="","",IF(OR(C18="credit",C18="on_credit"),0,E18*F18+G18))</f>
        <v/>
      </c>
      <c r="I18" s="14">
        <f>IF(C18="","",E18-H18)</f>
        <v/>
      </c>
      <c r="J18" s="10" t="n"/>
      <c r="K18" s="10" t="n"/>
    </row>
    <row r="19">
      <c r="A19" s="11" t="n"/>
      <c r="B19" s="10" t="n"/>
      <c r="C19" s="10" t="n"/>
      <c r="D19" s="15">
        <f>IF(C19="","",IF(OR(C19="cash",C19="naqd"),"cash",IF(OR(C19="credit",C19="on_credit"),"credit","bank")))</f>
        <v/>
      </c>
      <c r="E19" s="12" t="n"/>
      <c r="F19" s="19" t="n"/>
      <c r="G19" s="12" t="n"/>
      <c r="H19" s="14">
        <f>IF(C19="","",IF(OR(C19="credit",C19="on_credit"),0,E19*F19+G19))</f>
        <v/>
      </c>
      <c r="I19" s="14">
        <f>IF(C19="","",E19-H19)</f>
        <v/>
      </c>
      <c r="J19" s="10" t="n"/>
      <c r="K19" s="10" t="n"/>
    </row>
    <row r="20">
      <c r="A20" s="11" t="n"/>
      <c r="B20" s="10" t="n"/>
      <c r="C20" s="10" t="n"/>
      <c r="D20" s="15">
        <f>IF(C20="","",IF(OR(C20="cash",C20="naqd"),"cash",IF(OR(C20="credit",C20="on_credit"),"credit","bank")))</f>
        <v/>
      </c>
      <c r="E20" s="12" t="n"/>
      <c r="F20" s="19" t="n"/>
      <c r="G20" s="12" t="n"/>
      <c r="H20" s="14">
        <f>IF(C20="","",IF(OR(C20="credit",C20="on_credit"),0,E20*F20+G20))</f>
        <v/>
      </c>
      <c r="I20" s="14">
        <f>IF(C20="","",E20-H20)</f>
        <v/>
      </c>
      <c r="J20" s="10" t="n"/>
      <c r="K20" s="10" t="n"/>
    </row>
    <row r="21">
      <c r="A21" s="11" t="n"/>
      <c r="B21" s="10" t="n"/>
      <c r="C21" s="10" t="n"/>
      <c r="D21" s="15">
        <f>IF(C21="","",IF(OR(C21="cash",C21="naqd"),"cash",IF(OR(C21="credit",C21="on_credit"),"credit","bank")))</f>
        <v/>
      </c>
      <c r="E21" s="12" t="n"/>
      <c r="F21" s="19" t="n"/>
      <c r="G21" s="12" t="n"/>
      <c r="H21" s="14">
        <f>IF(C21="","",IF(OR(C21="credit",C21="on_credit"),0,E21*F21+G21))</f>
        <v/>
      </c>
      <c r="I21" s="14">
        <f>IF(C21="","",E21-H21)</f>
        <v/>
      </c>
      <c r="J21" s="10" t="n"/>
      <c r="K21" s="10" t="n"/>
    </row>
    <row r="22">
      <c r="A22" s="11" t="n"/>
      <c r="B22" s="10" t="n"/>
      <c r="C22" s="10" t="n"/>
      <c r="D22" s="15">
        <f>IF(C22="","",IF(OR(C22="cash",C22="naqd"),"cash",IF(OR(C22="credit",C22="on_credit"),"credit","bank")))</f>
        <v/>
      </c>
      <c r="E22" s="12" t="n"/>
      <c r="F22" s="19" t="n"/>
      <c r="G22" s="12" t="n"/>
      <c r="H22" s="14">
        <f>IF(C22="","",IF(OR(C22="credit",C22="on_credit"),0,E22*F22+G22))</f>
        <v/>
      </c>
      <c r="I22" s="14">
        <f>IF(C22="","",E22-H22)</f>
        <v/>
      </c>
      <c r="J22" s="10" t="n"/>
      <c r="K22" s="10" t="n"/>
    </row>
    <row r="23">
      <c r="A23" s="11" t="n"/>
      <c r="B23" s="10" t="n"/>
      <c r="C23" s="10" t="n"/>
      <c r="D23" s="15">
        <f>IF(C23="","",IF(OR(C23="cash",C23="naqd"),"cash",IF(OR(C23="credit",C23="on_credit"),"credit","bank")))</f>
        <v/>
      </c>
      <c r="E23" s="12" t="n"/>
      <c r="F23" s="19" t="n"/>
      <c r="G23" s="12" t="n"/>
      <c r="H23" s="14">
        <f>IF(C23="","",IF(OR(C23="credit",C23="on_credit"),0,E23*F23+G23))</f>
        <v/>
      </c>
      <c r="I23" s="14">
        <f>IF(C23="","",E23-H23)</f>
        <v/>
      </c>
      <c r="J23" s="10" t="n"/>
      <c r="K23" s="10" t="n"/>
    </row>
    <row r="24">
      <c r="A24" s="11" t="n"/>
      <c r="B24" s="10" t="n"/>
      <c r="C24" s="10" t="n"/>
      <c r="D24" s="15">
        <f>IF(C24="","",IF(OR(C24="cash",C24="naqd"),"cash",IF(OR(C24="credit",C24="on_credit"),"credit","bank")))</f>
        <v/>
      </c>
      <c r="E24" s="12" t="n"/>
      <c r="F24" s="19" t="n"/>
      <c r="G24" s="12" t="n"/>
      <c r="H24" s="14">
        <f>IF(C24="","",IF(OR(C24="credit",C24="on_credit"),0,E24*F24+G24))</f>
        <v/>
      </c>
      <c r="I24" s="14">
        <f>IF(C24="","",E24-H24)</f>
        <v/>
      </c>
      <c r="J24" s="10" t="n"/>
      <c r="K24" s="10" t="n"/>
    </row>
    <row r="25">
      <c r="A25" s="11" t="n"/>
      <c r="B25" s="10" t="n"/>
      <c r="C25" s="10" t="n"/>
      <c r="D25" s="15">
        <f>IF(C25="","",IF(OR(C25="cash",C25="naqd"),"cash",IF(OR(C25="credit",C25="on_credit"),"credit","bank")))</f>
        <v/>
      </c>
      <c r="E25" s="12" t="n"/>
      <c r="F25" s="19" t="n"/>
      <c r="G25" s="12" t="n"/>
      <c r="H25" s="14">
        <f>IF(C25="","",IF(OR(C25="credit",C25="on_credit"),0,E25*F25+G25))</f>
        <v/>
      </c>
      <c r="I25" s="14">
        <f>IF(C25="","",E25-H25)</f>
        <v/>
      </c>
      <c r="J25" s="10" t="n"/>
      <c r="K25" s="10" t="n"/>
    </row>
    <row r="26">
      <c r="A26" s="11" t="n"/>
      <c r="B26" s="10" t="n"/>
      <c r="C26" s="10" t="n"/>
      <c r="D26" s="15">
        <f>IF(C26="","",IF(OR(C26="cash",C26="naqd"),"cash",IF(OR(C26="credit",C26="on_credit"),"credit","bank")))</f>
        <v/>
      </c>
      <c r="E26" s="12" t="n"/>
      <c r="F26" s="19" t="n"/>
      <c r="G26" s="12" t="n"/>
      <c r="H26" s="14">
        <f>IF(C26="","",IF(OR(C26="credit",C26="on_credit"),0,E26*F26+G26))</f>
        <v/>
      </c>
      <c r="I26" s="14">
        <f>IF(C26="","",E26-H26)</f>
        <v/>
      </c>
      <c r="J26" s="10" t="n"/>
      <c r="K26" s="10" t="n"/>
    </row>
    <row r="27">
      <c r="A27" s="11" t="n"/>
      <c r="B27" s="10" t="n"/>
      <c r="C27" s="10" t="n"/>
      <c r="D27" s="15">
        <f>IF(C27="","",IF(OR(C27="cash",C27="naqd"),"cash",IF(OR(C27="credit",C27="on_credit"),"credit","bank")))</f>
        <v/>
      </c>
      <c r="E27" s="12" t="n"/>
      <c r="F27" s="19" t="n"/>
      <c r="G27" s="12" t="n"/>
      <c r="H27" s="14">
        <f>IF(C27="","",IF(OR(C27="credit",C27="on_credit"),0,E27*F27+G27))</f>
        <v/>
      </c>
      <c r="I27" s="14">
        <f>IF(C27="","",E27-H27)</f>
        <v/>
      </c>
      <c r="J27" s="10" t="n"/>
      <c r="K27" s="10" t="n"/>
    </row>
    <row r="28">
      <c r="A28" s="11" t="n"/>
      <c r="B28" s="10" t="n"/>
      <c r="C28" s="10" t="n"/>
      <c r="D28" s="15">
        <f>IF(C28="","",IF(OR(C28="cash",C28="naqd"),"cash",IF(OR(C28="credit",C28="on_credit"),"credit","bank")))</f>
        <v/>
      </c>
      <c r="E28" s="12" t="n"/>
      <c r="F28" s="19" t="n"/>
      <c r="G28" s="12" t="n"/>
      <c r="H28" s="14">
        <f>IF(C28="","",IF(OR(C28="credit",C28="on_credit"),0,E28*F28+G28))</f>
        <v/>
      </c>
      <c r="I28" s="14">
        <f>IF(C28="","",E28-H28)</f>
        <v/>
      </c>
      <c r="J28" s="10" t="n"/>
      <c r="K28" s="10" t="n"/>
    </row>
    <row r="29">
      <c r="A29" s="11" t="n"/>
      <c r="B29" s="10" t="n"/>
      <c r="C29" s="10" t="n"/>
      <c r="D29" s="15">
        <f>IF(C29="","",IF(OR(C29="cash",C29="naqd"),"cash",IF(OR(C29="credit",C29="on_credit"),"credit","bank")))</f>
        <v/>
      </c>
      <c r="E29" s="12" t="n"/>
      <c r="F29" s="19" t="n"/>
      <c r="G29" s="12" t="n"/>
      <c r="H29" s="14">
        <f>IF(C29="","",IF(OR(C29="credit",C29="on_credit"),0,E29*F29+G29))</f>
        <v/>
      </c>
      <c r="I29" s="14">
        <f>IF(C29="","",E29-H29)</f>
        <v/>
      </c>
      <c r="J29" s="10" t="n"/>
      <c r="K29" s="10" t="n"/>
    </row>
    <row r="30">
      <c r="A30" s="11" t="n"/>
      <c r="B30" s="10" t="n"/>
      <c r="C30" s="10" t="n"/>
      <c r="D30" s="15">
        <f>IF(C30="","",IF(OR(C30="cash",C30="naqd"),"cash",IF(OR(C30="credit",C30="on_credit"),"credit","bank")))</f>
        <v/>
      </c>
      <c r="E30" s="12" t="n"/>
      <c r="F30" s="19" t="n"/>
      <c r="G30" s="12" t="n"/>
      <c r="H30" s="14">
        <f>IF(C30="","",IF(OR(C30="credit",C30="on_credit"),0,E30*F30+G30))</f>
        <v/>
      </c>
      <c r="I30" s="14">
        <f>IF(C30="","",E30-H30)</f>
        <v/>
      </c>
      <c r="J30" s="10" t="n"/>
      <c r="K30" s="10" t="n"/>
    </row>
    <row r="31">
      <c r="A31" s="11" t="n"/>
      <c r="B31" s="10" t="n"/>
      <c r="C31" s="10" t="n"/>
      <c r="D31" s="15">
        <f>IF(C31="","",IF(OR(C31="cash",C31="naqd"),"cash",IF(OR(C31="credit",C31="on_credit"),"credit","bank")))</f>
        <v/>
      </c>
      <c r="E31" s="12" t="n"/>
      <c r="F31" s="19" t="n"/>
      <c r="G31" s="12" t="n"/>
      <c r="H31" s="14">
        <f>IF(C31="","",IF(OR(C31="credit",C31="on_credit"),0,E31*F31+G31))</f>
        <v/>
      </c>
      <c r="I31" s="14">
        <f>IF(C31="","",E31-H31)</f>
        <v/>
      </c>
      <c r="J31" s="10" t="n"/>
      <c r="K31" s="10" t="n"/>
    </row>
    <row r="32">
      <c r="A32" s="11" t="n"/>
      <c r="B32" s="10" t="n"/>
      <c r="C32" s="10" t="n"/>
      <c r="D32" s="15">
        <f>IF(C32="","",IF(OR(C32="cash",C32="naqd"),"cash",IF(OR(C32="credit",C32="on_credit"),"credit","bank")))</f>
        <v/>
      </c>
      <c r="E32" s="12" t="n"/>
      <c r="F32" s="19" t="n"/>
      <c r="G32" s="12" t="n"/>
      <c r="H32" s="14">
        <f>IF(C32="","",IF(OR(C32="credit",C32="on_credit"),0,E32*F32+G32))</f>
        <v/>
      </c>
      <c r="I32" s="14">
        <f>IF(C32="","",E32-H32)</f>
        <v/>
      </c>
      <c r="J32" s="10" t="n"/>
      <c r="K32" s="10" t="n"/>
    </row>
    <row r="33">
      <c r="A33" s="11" t="n"/>
      <c r="B33" s="10" t="n"/>
      <c r="C33" s="10" t="n"/>
      <c r="D33" s="15">
        <f>IF(C33="","",IF(OR(C33="cash",C33="naqd"),"cash",IF(OR(C33="credit",C33="on_credit"),"credit","bank")))</f>
        <v/>
      </c>
      <c r="E33" s="12" t="n"/>
      <c r="F33" s="19" t="n"/>
      <c r="G33" s="12" t="n"/>
      <c r="H33" s="14">
        <f>IF(C33="","",IF(OR(C33="credit",C33="on_credit"),0,E33*F33+G33))</f>
        <v/>
      </c>
      <c r="I33" s="14">
        <f>IF(C33="","",E33-H33)</f>
        <v/>
      </c>
      <c r="J33" s="10" t="n"/>
      <c r="K33" s="10" t="n"/>
    </row>
    <row r="34">
      <c r="A34" s="11" t="n"/>
      <c r="B34" s="10" t="n"/>
      <c r="C34" s="10" t="n"/>
      <c r="D34" s="15">
        <f>IF(C34="","",IF(OR(C34="cash",C34="naqd"),"cash",IF(OR(C34="credit",C34="on_credit"),"credit","bank")))</f>
        <v/>
      </c>
      <c r="E34" s="12" t="n"/>
      <c r="F34" s="19" t="n"/>
      <c r="G34" s="12" t="n"/>
      <c r="H34" s="14">
        <f>IF(C34="","",IF(OR(C34="credit",C34="on_credit"),0,E34*F34+G34))</f>
        <v/>
      </c>
      <c r="I34" s="14">
        <f>IF(C34="","",E34-H34)</f>
        <v/>
      </c>
      <c r="J34" s="10" t="n"/>
      <c r="K34" s="10" t="n"/>
    </row>
    <row r="35">
      <c r="A35" s="11" t="n"/>
      <c r="B35" s="10" t="n"/>
      <c r="C35" s="10" t="n"/>
      <c r="D35" s="15">
        <f>IF(C35="","",IF(OR(C35="cash",C35="naqd"),"cash",IF(OR(C35="credit",C35="on_credit"),"credit","bank")))</f>
        <v/>
      </c>
      <c r="E35" s="12" t="n"/>
      <c r="F35" s="19" t="n"/>
      <c r="G35" s="12" t="n"/>
      <c r="H35" s="14">
        <f>IF(C35="","",IF(OR(C35="credit",C35="on_credit"),0,E35*F35+G35))</f>
        <v/>
      </c>
      <c r="I35" s="14">
        <f>IF(C35="","",E35-H35)</f>
        <v/>
      </c>
      <c r="J35" s="10" t="n"/>
      <c r="K35" s="10" t="n"/>
    </row>
    <row r="36">
      <c r="A36" s="11" t="n"/>
      <c r="B36" s="10" t="n"/>
      <c r="C36" s="10" t="n"/>
      <c r="D36" s="15">
        <f>IF(C36="","",IF(OR(C36="cash",C36="naqd"),"cash",IF(OR(C36="credit",C36="on_credit"),"credit","bank")))</f>
        <v/>
      </c>
      <c r="E36" s="12" t="n"/>
      <c r="F36" s="19" t="n"/>
      <c r="G36" s="12" t="n"/>
      <c r="H36" s="14">
        <f>IF(C36="","",IF(OR(C36="credit",C36="on_credit"),0,E36*F36+G36))</f>
        <v/>
      </c>
      <c r="I36" s="14">
        <f>IF(C36="","",E36-H36)</f>
        <v/>
      </c>
      <c r="J36" s="10" t="n"/>
      <c r="K36" s="10" t="n"/>
    </row>
    <row r="37">
      <c r="A37" s="11" t="n"/>
      <c r="B37" s="10" t="n"/>
      <c r="C37" s="10" t="n"/>
      <c r="D37" s="15">
        <f>IF(C37="","",IF(OR(C37="cash",C37="naqd"),"cash",IF(OR(C37="credit",C37="on_credit"),"credit","bank")))</f>
        <v/>
      </c>
      <c r="E37" s="12" t="n"/>
      <c r="F37" s="19" t="n"/>
      <c r="G37" s="12" t="n"/>
      <c r="H37" s="14">
        <f>IF(C37="","",IF(OR(C37="credit",C37="on_credit"),0,E37*F37+G37))</f>
        <v/>
      </c>
      <c r="I37" s="14">
        <f>IF(C37="","",E37-H37)</f>
        <v/>
      </c>
      <c r="J37" s="10" t="n"/>
      <c r="K37" s="10" t="n"/>
    </row>
    <row r="38">
      <c r="A38" s="11" t="n"/>
      <c r="B38" s="10" t="n"/>
      <c r="C38" s="10" t="n"/>
      <c r="D38" s="15">
        <f>IF(C38="","",IF(OR(C38="cash",C38="naqd"),"cash",IF(OR(C38="credit",C38="on_credit"),"credit","bank")))</f>
        <v/>
      </c>
      <c r="E38" s="12" t="n"/>
      <c r="F38" s="19" t="n"/>
      <c r="G38" s="12" t="n"/>
      <c r="H38" s="14">
        <f>IF(C38="","",IF(OR(C38="credit",C38="on_credit"),0,E38*F38+G38))</f>
        <v/>
      </c>
      <c r="I38" s="14">
        <f>IF(C38="","",E38-H38)</f>
        <v/>
      </c>
      <c r="J38" s="10" t="n"/>
      <c r="K38" s="10" t="n"/>
    </row>
    <row r="39">
      <c r="A39" s="11" t="n"/>
      <c r="B39" s="10" t="n"/>
      <c r="C39" s="10" t="n"/>
      <c r="D39" s="15">
        <f>IF(C39="","",IF(OR(C39="cash",C39="naqd"),"cash",IF(OR(C39="credit",C39="on_credit"),"credit","bank")))</f>
        <v/>
      </c>
      <c r="E39" s="12" t="n"/>
      <c r="F39" s="19" t="n"/>
      <c r="G39" s="12" t="n"/>
      <c r="H39" s="14">
        <f>IF(C39="","",IF(OR(C39="credit",C39="on_credit"),0,E39*F39+G39))</f>
        <v/>
      </c>
      <c r="I39" s="14">
        <f>IF(C39="","",E39-H39)</f>
        <v/>
      </c>
      <c r="J39" s="10" t="n"/>
      <c r="K39" s="10" t="n"/>
    </row>
    <row r="40">
      <c r="A40" s="11" t="n"/>
      <c r="B40" s="10" t="n"/>
      <c r="C40" s="10" t="n"/>
      <c r="D40" s="15">
        <f>IF(C40="","",IF(OR(C40="cash",C40="naqd"),"cash",IF(OR(C40="credit",C40="on_credit"),"credit","bank")))</f>
        <v/>
      </c>
      <c r="E40" s="12" t="n"/>
      <c r="F40" s="19" t="n"/>
      <c r="G40" s="12" t="n"/>
      <c r="H40" s="14">
        <f>IF(C40="","",IF(OR(C40="credit",C40="on_credit"),0,E40*F40+G40))</f>
        <v/>
      </c>
      <c r="I40" s="14">
        <f>IF(C40="","",E40-H40)</f>
        <v/>
      </c>
      <c r="J40" s="10" t="n"/>
      <c r="K40" s="10" t="n"/>
    </row>
    <row r="41">
      <c r="A41" s="11" t="n"/>
      <c r="B41" s="10" t="n"/>
      <c r="C41" s="10" t="n"/>
      <c r="D41" s="15">
        <f>IF(C41="","",IF(OR(C41="cash",C41="naqd"),"cash",IF(OR(C41="credit",C41="on_credit"),"credit","bank")))</f>
        <v/>
      </c>
      <c r="E41" s="12" t="n"/>
      <c r="F41" s="19" t="n"/>
      <c r="G41" s="12" t="n"/>
      <c r="H41" s="14">
        <f>IF(C41="","",IF(OR(C41="credit",C41="on_credit"),0,E41*F41+G41))</f>
        <v/>
      </c>
      <c r="I41" s="14">
        <f>IF(C41="","",E41-H41)</f>
        <v/>
      </c>
      <c r="J41" s="10" t="n"/>
      <c r="K41" s="10" t="n"/>
    </row>
    <row r="42">
      <c r="A42" s="11" t="n"/>
      <c r="B42" s="10" t="n"/>
      <c r="C42" s="10" t="n"/>
      <c r="D42" s="15">
        <f>IF(C42="","",IF(OR(C42="cash",C42="naqd"),"cash",IF(OR(C42="credit",C42="on_credit"),"credit","bank")))</f>
        <v/>
      </c>
      <c r="E42" s="12" t="n"/>
      <c r="F42" s="19" t="n"/>
      <c r="G42" s="12" t="n"/>
      <c r="H42" s="14">
        <f>IF(C42="","",IF(OR(C42="credit",C42="on_credit"),0,E42*F42+G42))</f>
        <v/>
      </c>
      <c r="I42" s="14">
        <f>IF(C42="","",E42-H42)</f>
        <v/>
      </c>
      <c r="J42" s="10" t="n"/>
      <c r="K42" s="10" t="n"/>
    </row>
    <row r="43">
      <c r="A43" s="11" t="n"/>
      <c r="B43" s="10" t="n"/>
      <c r="C43" s="10" t="n"/>
      <c r="D43" s="15">
        <f>IF(C43="","",IF(OR(C43="cash",C43="naqd"),"cash",IF(OR(C43="credit",C43="on_credit"),"credit","bank")))</f>
        <v/>
      </c>
      <c r="E43" s="12" t="n"/>
      <c r="F43" s="19" t="n"/>
      <c r="G43" s="12" t="n"/>
      <c r="H43" s="14">
        <f>IF(C43="","",IF(OR(C43="credit",C43="on_credit"),0,E43*F43+G43))</f>
        <v/>
      </c>
      <c r="I43" s="14">
        <f>IF(C43="","",E43-H43)</f>
        <v/>
      </c>
      <c r="J43" s="10" t="n"/>
      <c r="K43" s="10" t="n"/>
    </row>
    <row r="44">
      <c r="A44" s="11" t="n"/>
      <c r="B44" s="10" t="n"/>
      <c r="C44" s="10" t="n"/>
      <c r="D44" s="15">
        <f>IF(C44="","",IF(OR(C44="cash",C44="naqd"),"cash",IF(OR(C44="credit",C44="on_credit"),"credit","bank")))</f>
        <v/>
      </c>
      <c r="E44" s="12" t="n"/>
      <c r="F44" s="19" t="n"/>
      <c r="G44" s="12" t="n"/>
      <c r="H44" s="14">
        <f>IF(C44="","",IF(OR(C44="credit",C44="on_credit"),0,E44*F44+G44))</f>
        <v/>
      </c>
      <c r="I44" s="14">
        <f>IF(C44="","",E44-H44)</f>
        <v/>
      </c>
      <c r="J44" s="10" t="n"/>
      <c r="K44" s="10" t="n"/>
    </row>
    <row r="45">
      <c r="A45" s="11" t="n"/>
      <c r="B45" s="10" t="n"/>
      <c r="C45" s="10" t="n"/>
      <c r="D45" s="15">
        <f>IF(C45="","",IF(OR(C45="cash",C45="naqd"),"cash",IF(OR(C45="credit",C45="on_credit"),"credit","bank")))</f>
        <v/>
      </c>
      <c r="E45" s="12" t="n"/>
      <c r="F45" s="19" t="n"/>
      <c r="G45" s="12" t="n"/>
      <c r="H45" s="14">
        <f>IF(C45="","",IF(OR(C45="credit",C45="on_credit"),0,E45*F45+G45))</f>
        <v/>
      </c>
      <c r="I45" s="14">
        <f>IF(C45="","",E45-H45)</f>
        <v/>
      </c>
      <c r="J45" s="10" t="n"/>
      <c r="K45" s="10" t="n"/>
    </row>
    <row r="46">
      <c r="A46" s="11" t="n"/>
      <c r="B46" s="10" t="n"/>
      <c r="C46" s="10" t="n"/>
      <c r="D46" s="15">
        <f>IF(C46="","",IF(OR(C46="cash",C46="naqd"),"cash",IF(OR(C46="credit",C46="on_credit"),"credit","bank")))</f>
        <v/>
      </c>
      <c r="E46" s="12" t="n"/>
      <c r="F46" s="19" t="n"/>
      <c r="G46" s="12" t="n"/>
      <c r="H46" s="14">
        <f>IF(C46="","",IF(OR(C46="credit",C46="on_credit"),0,E46*F46+G46))</f>
        <v/>
      </c>
      <c r="I46" s="14">
        <f>IF(C46="","",E46-H46)</f>
        <v/>
      </c>
      <c r="J46" s="10" t="n"/>
      <c r="K46" s="10" t="n"/>
    </row>
    <row r="47">
      <c r="A47" s="11" t="n"/>
      <c r="B47" s="10" t="n"/>
      <c r="C47" s="10" t="n"/>
      <c r="D47" s="15">
        <f>IF(C47="","",IF(OR(C47="cash",C47="naqd"),"cash",IF(OR(C47="credit",C47="on_credit"),"credit","bank")))</f>
        <v/>
      </c>
      <c r="E47" s="12" t="n"/>
      <c r="F47" s="19" t="n"/>
      <c r="G47" s="12" t="n"/>
      <c r="H47" s="14">
        <f>IF(C47="","",IF(OR(C47="credit",C47="on_credit"),0,E47*F47+G47))</f>
        <v/>
      </c>
      <c r="I47" s="14">
        <f>IF(C47="","",E47-H47)</f>
        <v/>
      </c>
      <c r="J47" s="10" t="n"/>
      <c r="K47" s="10" t="n"/>
    </row>
    <row r="48">
      <c r="A48" s="11" t="n"/>
      <c r="B48" s="10" t="n"/>
      <c r="C48" s="10" t="n"/>
      <c r="D48" s="15">
        <f>IF(C48="","",IF(OR(C48="cash",C48="naqd"),"cash",IF(OR(C48="credit",C48="on_credit"),"credit","bank")))</f>
        <v/>
      </c>
      <c r="E48" s="12" t="n"/>
      <c r="F48" s="19" t="n"/>
      <c r="G48" s="12" t="n"/>
      <c r="H48" s="14">
        <f>IF(C48="","",IF(OR(C48="credit",C48="on_credit"),0,E48*F48+G48))</f>
        <v/>
      </c>
      <c r="I48" s="14">
        <f>IF(C48="","",E48-H48)</f>
        <v/>
      </c>
      <c r="J48" s="10" t="n"/>
      <c r="K48" s="10" t="n"/>
    </row>
    <row r="49">
      <c r="A49" s="11" t="n"/>
      <c r="B49" s="10" t="n"/>
      <c r="C49" s="10" t="n"/>
      <c r="D49" s="15">
        <f>IF(C49="","",IF(OR(C49="cash",C49="naqd"),"cash",IF(OR(C49="credit",C49="on_credit"),"credit","bank")))</f>
        <v/>
      </c>
      <c r="E49" s="12" t="n"/>
      <c r="F49" s="19" t="n"/>
      <c r="G49" s="12" t="n"/>
      <c r="H49" s="14">
        <f>IF(C49="","",IF(OR(C49="credit",C49="on_credit"),0,E49*F49+G49))</f>
        <v/>
      </c>
      <c r="I49" s="14">
        <f>IF(C49="","",E49-H49)</f>
        <v/>
      </c>
      <c r="J49" s="10" t="n"/>
      <c r="K49" s="10" t="n"/>
    </row>
  </sheetData>
  <dataValidations count="1">
    <dataValidation sqref="C5:C49" showDropDown="0" showInputMessage="0" showErrorMessage="0" allowBlank="1" type="list">
      <formula1>"cash,card,transfer,uzcard,humo,click,payme,credit,naqd"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2" customWidth="1" min="4" max="4"/>
    <col width="11" customWidth="1" min="5" max="5"/>
    <col width="10" customWidth="1" min="6" max="6"/>
    <col width="24" customWidth="1" min="7" max="7"/>
    <col width="29" customWidth="1" min="8" max="8"/>
    <col width="30" customWidth="1" min="9" max="9"/>
    <col width="11" customWidth="1" min="10" max="10"/>
  </cols>
  <sheetData>
    <row r="1">
      <c r="A1" s="1" t="inlineStr">
        <is>
          <t>Mijoz qarzlari (Accounts Receivable)</t>
        </is>
      </c>
    </row>
    <row r="2">
      <c r="A2" s="2" t="inlineStr">
        <is>
          <t>Aging: 0-7 / 8-30 / 31-60 / 61+ (POS agingCalc). Yosh = AsOfDate - Hujjat_sana.</t>
        </is>
      </c>
    </row>
    <row r="3"/>
    <row r="4" ht="32" customHeight="1">
      <c r="A4" s="9" t="inlineStr">
        <is>
          <t>Mijoz</t>
        </is>
      </c>
      <c r="B4" s="9" t="inlineStr">
        <is>
          <t>Hujjat_N</t>
        </is>
      </c>
      <c r="C4" s="9" t="inlineStr">
        <is>
          <t>Hujjat_sana</t>
        </is>
      </c>
      <c r="D4" s="9" t="inlineStr">
        <is>
          <t>Muddat</t>
        </is>
      </c>
      <c r="E4" s="9" t="inlineStr">
        <is>
          <t>Jami_qarz</t>
        </is>
      </c>
      <c r="F4" s="9" t="inlineStr">
        <is>
          <t>Tolangan</t>
        </is>
      </c>
      <c r="G4" s="9" t="inlineStr">
        <is>
          <t>Qoldiq</t>
        </is>
      </c>
      <c r="H4" s="9" t="inlineStr">
        <is>
          <t>Yosh_kun</t>
        </is>
      </c>
      <c r="I4" s="9" t="inlineStr">
        <is>
          <t>Bucket</t>
        </is>
      </c>
      <c r="J4" s="9" t="inlineStr">
        <is>
          <t>Telefon</t>
        </is>
      </c>
    </row>
    <row r="5">
      <c r="A5" s="10" t="inlineStr">
        <is>
          <t>Aliyev A.</t>
        </is>
      </c>
      <c r="B5" s="10" t="inlineStr">
        <is>
          <t>S-1001</t>
        </is>
      </c>
      <c r="C5" s="11" t="n">
        <v>46235</v>
      </c>
      <c r="D5" s="11" t="n">
        <v>46249</v>
      </c>
      <c r="E5" s="12" t="n">
        <v>20000</v>
      </c>
      <c r="F5" s="12" t="n">
        <v>0</v>
      </c>
      <c r="G5" s="14">
        <f>E5-F5</f>
        <v/>
      </c>
      <c r="H5" s="15">
        <f>IF(C5="","",AsOfDate-C5)</f>
        <v/>
      </c>
      <c r="I5" s="15">
        <f>IF(G5&lt;=0,"",IF(H5&lt;=7,"0_7",IF(H5&lt;=30,"8_30",IF(H5&lt;=60,"31_60","60_plus"))))</f>
        <v/>
      </c>
      <c r="J5" s="10" t="inlineStr">
        <is>
          <t>+99890...</t>
        </is>
      </c>
    </row>
    <row r="6">
      <c r="A6" s="10" t="inlineStr">
        <is>
          <t>Karimova B.</t>
        </is>
      </c>
      <c r="B6" s="10" t="inlineStr">
        <is>
          <t>S-1007</t>
        </is>
      </c>
      <c r="C6" s="11" t="n">
        <v>46249</v>
      </c>
      <c r="D6" s="11" t="n">
        <v>46264</v>
      </c>
      <c r="E6" s="12" t="n">
        <v>16000</v>
      </c>
      <c r="F6" s="12" t="n">
        <v>5000</v>
      </c>
      <c r="G6" s="14">
        <f>E6-F6</f>
        <v/>
      </c>
      <c r="H6" s="15">
        <f>IF(C6="","",AsOfDate-C6)</f>
        <v/>
      </c>
      <c r="I6" s="15">
        <f>IF(G6&lt;=0,"",IF(H6&lt;=7,"0_7",IF(H6&lt;=30,"8_30",IF(H6&lt;=60,"31_60","60_plus"))))</f>
        <v/>
      </c>
      <c r="J6" s="10" t="inlineStr"/>
    </row>
    <row r="7">
      <c r="A7" s="10" t="inlineStr">
        <is>
          <t>Do'stlar LLC</t>
        </is>
      </c>
      <c r="B7" s="10" t="inlineStr">
        <is>
          <t>S-0880</t>
        </is>
      </c>
      <c r="C7" s="11" t="n">
        <v>46193</v>
      </c>
      <c r="D7" s="11" t="n">
        <v>46223</v>
      </c>
      <c r="E7" s="12" t="n">
        <v>500000</v>
      </c>
      <c r="F7" s="12" t="n">
        <v>100000</v>
      </c>
      <c r="G7" s="14">
        <f>E7-F7</f>
        <v/>
      </c>
      <c r="H7" s="15">
        <f>IF(C7="","",AsOfDate-C7)</f>
        <v/>
      </c>
      <c r="I7" s="15">
        <f>IF(G7&lt;=0,"",IF(H7&lt;=7,"0_7",IF(H7&lt;=30,"8_30",IF(H7&lt;=60,"31_60","60_plus"))))</f>
        <v/>
      </c>
      <c r="J7" s="10" t="inlineStr"/>
    </row>
    <row r="8">
      <c r="A8" s="10" t="inlineStr">
        <is>
          <t>Toshmatov</t>
        </is>
      </c>
      <c r="B8" s="10" t="inlineStr">
        <is>
          <t>S-0920</t>
        </is>
      </c>
      <c r="C8" s="11" t="n">
        <v>46213</v>
      </c>
      <c r="D8" s="11" t="n">
        <v>46244</v>
      </c>
      <c r="E8" s="12" t="n">
        <v>120000</v>
      </c>
      <c r="F8" s="12" t="n">
        <v>0</v>
      </c>
      <c r="G8" s="14">
        <f>E8-F8</f>
        <v/>
      </c>
      <c r="H8" s="15">
        <f>IF(C8="","",AsOfDate-C8)</f>
        <v/>
      </c>
      <c r="I8" s="15">
        <f>IF(G8&lt;=0,"",IF(H8&lt;=7,"0_7",IF(H8&lt;=30,"8_30",IF(H8&lt;=60,"31_60","60_plus"))))</f>
        <v/>
      </c>
      <c r="J8" s="10" t="inlineStr"/>
    </row>
    <row r="9">
      <c r="A9" s="10" t="inlineStr">
        <is>
          <t>Nodira</t>
        </is>
      </c>
      <c r="B9" s="10" t="inlineStr">
        <is>
          <t>S-0950</t>
        </is>
      </c>
      <c r="C9" s="11" t="n">
        <v>46252</v>
      </c>
      <c r="D9" s="11" t="n">
        <v>46266</v>
      </c>
      <c r="E9" s="12" t="n">
        <v>45000</v>
      </c>
      <c r="F9" s="12" t="n">
        <v>0</v>
      </c>
      <c r="G9" s="14">
        <f>E9-F9</f>
        <v/>
      </c>
      <c r="H9" s="15">
        <f>IF(C9="","",AsOfDate-C9)</f>
        <v/>
      </c>
      <c r="I9" s="15">
        <f>IF(G9&lt;=0,"",IF(H9&lt;=7,"0_7",IF(H9&lt;=30,"8_30",IF(H9&lt;=60,"31_60","60_plus"))))</f>
        <v/>
      </c>
      <c r="J9" s="10" t="inlineStr"/>
    </row>
    <row r="10">
      <c r="A10" s="10" t="n"/>
      <c r="B10" s="10" t="n"/>
      <c r="C10" s="11" t="n"/>
      <c r="D10" s="11" t="n"/>
      <c r="E10" s="12" t="n"/>
      <c r="F10" s="12" t="n"/>
      <c r="G10" s="14">
        <f>IF(E10="","",E10-F10)</f>
        <v/>
      </c>
      <c r="H10" s="15">
        <f>IF(C10="","",AsOfDate-C10)</f>
        <v/>
      </c>
      <c r="I10" s="15">
        <f>IF(OR(E10="",G10&lt;=0),"",IF(H10&lt;=7,"0_7",IF(H10&lt;=30,"8_30",IF(H10&lt;=60,"31_60","60_plus"))))</f>
        <v/>
      </c>
      <c r="J10" s="10" t="n"/>
    </row>
    <row r="11">
      <c r="A11" s="10" t="n"/>
      <c r="B11" s="10" t="n"/>
      <c r="C11" s="11" t="n"/>
      <c r="D11" s="11" t="n"/>
      <c r="E11" s="12" t="n"/>
      <c r="F11" s="12" t="n"/>
      <c r="G11" s="14">
        <f>IF(E11="","",E11-F11)</f>
        <v/>
      </c>
      <c r="H11" s="15">
        <f>IF(C11="","",AsOfDate-C11)</f>
        <v/>
      </c>
      <c r="I11" s="15">
        <f>IF(OR(E11="",G11&lt;=0),"",IF(H11&lt;=7,"0_7",IF(H11&lt;=30,"8_30",IF(H11&lt;=60,"31_60","60_plus"))))</f>
        <v/>
      </c>
      <c r="J11" s="10" t="n"/>
    </row>
    <row r="12">
      <c r="A12" s="10" t="n"/>
      <c r="B12" s="10" t="n"/>
      <c r="C12" s="11" t="n"/>
      <c r="D12" s="11" t="n"/>
      <c r="E12" s="12" t="n"/>
      <c r="F12" s="12" t="n"/>
      <c r="G12" s="14">
        <f>IF(E12="","",E12-F12)</f>
        <v/>
      </c>
      <c r="H12" s="15">
        <f>IF(C12="","",AsOfDate-C12)</f>
        <v/>
      </c>
      <c r="I12" s="15">
        <f>IF(OR(E12="",G12&lt;=0),"",IF(H12&lt;=7,"0_7",IF(H12&lt;=30,"8_30",IF(H12&lt;=60,"31_60","60_plus"))))</f>
        <v/>
      </c>
      <c r="J12" s="10" t="n"/>
    </row>
    <row r="13">
      <c r="A13" s="10" t="n"/>
      <c r="B13" s="10" t="n"/>
      <c r="C13" s="11" t="n"/>
      <c r="D13" s="11" t="n"/>
      <c r="E13" s="12" t="n"/>
      <c r="F13" s="12" t="n"/>
      <c r="G13" s="14">
        <f>IF(E13="","",E13-F13)</f>
        <v/>
      </c>
      <c r="H13" s="15">
        <f>IF(C13="","",AsOfDate-C13)</f>
        <v/>
      </c>
      <c r="I13" s="15">
        <f>IF(OR(E13="",G13&lt;=0),"",IF(H13&lt;=7,"0_7",IF(H13&lt;=30,"8_30",IF(H13&lt;=60,"31_60","60_plus"))))</f>
        <v/>
      </c>
      <c r="J13" s="10" t="n"/>
    </row>
    <row r="14">
      <c r="A14" s="10" t="n"/>
      <c r="B14" s="10" t="n"/>
      <c r="C14" s="11" t="n"/>
      <c r="D14" s="11" t="n"/>
      <c r="E14" s="12" t="n"/>
      <c r="F14" s="12" t="n"/>
      <c r="G14" s="14">
        <f>IF(E14="","",E14-F14)</f>
        <v/>
      </c>
      <c r="H14" s="15">
        <f>IF(C14="","",AsOfDate-C14)</f>
        <v/>
      </c>
      <c r="I14" s="15">
        <f>IF(OR(E14="",G14&lt;=0),"",IF(H14&lt;=7,"0_7",IF(H14&lt;=30,"8_30",IF(H14&lt;=60,"31_60","60_plus"))))</f>
        <v/>
      </c>
      <c r="J14" s="10" t="n"/>
    </row>
    <row r="15">
      <c r="A15" s="10" t="n"/>
      <c r="B15" s="10" t="n"/>
      <c r="C15" s="11" t="n"/>
      <c r="D15" s="11" t="n"/>
      <c r="E15" s="12" t="n"/>
      <c r="F15" s="12" t="n"/>
      <c r="G15" s="14">
        <f>IF(E15="","",E15-F15)</f>
        <v/>
      </c>
      <c r="H15" s="15">
        <f>IF(C15="","",AsOfDate-C15)</f>
        <v/>
      </c>
      <c r="I15" s="15">
        <f>IF(OR(E15="",G15&lt;=0),"",IF(H15&lt;=7,"0_7",IF(H15&lt;=30,"8_30",IF(H15&lt;=60,"31_60","60_plus"))))</f>
        <v/>
      </c>
      <c r="J15" s="10" t="n"/>
    </row>
    <row r="16">
      <c r="A16" s="10" t="n"/>
      <c r="B16" s="10" t="n"/>
      <c r="C16" s="11" t="n"/>
      <c r="D16" s="11" t="n"/>
      <c r="E16" s="12" t="n"/>
      <c r="F16" s="12" t="n"/>
      <c r="G16" s="14">
        <f>IF(E16="","",E16-F16)</f>
        <v/>
      </c>
      <c r="H16" s="15">
        <f>IF(C16="","",AsOfDate-C16)</f>
        <v/>
      </c>
      <c r="I16" s="15">
        <f>IF(OR(E16="",G16&lt;=0),"",IF(H16&lt;=7,"0_7",IF(H16&lt;=30,"8_30",IF(H16&lt;=60,"31_60","60_plus"))))</f>
        <v/>
      </c>
      <c r="J16" s="10" t="n"/>
    </row>
    <row r="17">
      <c r="A17" s="10" t="n"/>
      <c r="B17" s="10" t="n"/>
      <c r="C17" s="11" t="n"/>
      <c r="D17" s="11" t="n"/>
      <c r="E17" s="12" t="n"/>
      <c r="F17" s="12" t="n"/>
      <c r="G17" s="14">
        <f>IF(E17="","",E17-F17)</f>
        <v/>
      </c>
      <c r="H17" s="15">
        <f>IF(C17="","",AsOfDate-C17)</f>
        <v/>
      </c>
      <c r="I17" s="15">
        <f>IF(OR(E17="",G17&lt;=0),"",IF(H17&lt;=7,"0_7",IF(H17&lt;=30,"8_30",IF(H17&lt;=60,"31_60","60_plus"))))</f>
        <v/>
      </c>
      <c r="J17" s="10" t="n"/>
    </row>
    <row r="18">
      <c r="A18" s="10" t="n"/>
      <c r="B18" s="10" t="n"/>
      <c r="C18" s="11" t="n"/>
      <c r="D18" s="11" t="n"/>
      <c r="E18" s="12" t="n"/>
      <c r="F18" s="12" t="n"/>
      <c r="G18" s="14">
        <f>IF(E18="","",E18-F18)</f>
        <v/>
      </c>
      <c r="H18" s="15">
        <f>IF(C18="","",AsOfDate-C18)</f>
        <v/>
      </c>
      <c r="I18" s="15">
        <f>IF(OR(E18="",G18&lt;=0),"",IF(H18&lt;=7,"0_7",IF(H18&lt;=30,"8_30",IF(H18&lt;=60,"31_60","60_plus"))))</f>
        <v/>
      </c>
      <c r="J18" s="10" t="n"/>
    </row>
    <row r="19">
      <c r="A19" s="10" t="n"/>
      <c r="B19" s="10" t="n"/>
      <c r="C19" s="11" t="n"/>
      <c r="D19" s="11" t="n"/>
      <c r="E19" s="12" t="n"/>
      <c r="F19" s="12" t="n"/>
      <c r="G19" s="14">
        <f>IF(E19="","",E19-F19)</f>
        <v/>
      </c>
      <c r="H19" s="15">
        <f>IF(C19="","",AsOfDate-C19)</f>
        <v/>
      </c>
      <c r="I19" s="15">
        <f>IF(OR(E19="",G19&lt;=0),"",IF(H19&lt;=7,"0_7",IF(H19&lt;=30,"8_30",IF(H19&lt;=60,"31_60","60_plus"))))</f>
        <v/>
      </c>
      <c r="J19" s="10" t="n"/>
    </row>
    <row r="20">
      <c r="A20" s="10" t="n"/>
      <c r="B20" s="10" t="n"/>
      <c r="C20" s="11" t="n"/>
      <c r="D20" s="11" t="n"/>
      <c r="E20" s="12" t="n"/>
      <c r="F20" s="12" t="n"/>
      <c r="G20" s="14">
        <f>IF(E20="","",E20-F20)</f>
        <v/>
      </c>
      <c r="H20" s="15">
        <f>IF(C20="","",AsOfDate-C20)</f>
        <v/>
      </c>
      <c r="I20" s="15">
        <f>IF(OR(E20="",G20&lt;=0),"",IF(H20&lt;=7,"0_7",IF(H20&lt;=30,"8_30",IF(H20&lt;=60,"31_60","60_plus"))))</f>
        <v/>
      </c>
      <c r="J20" s="10" t="n"/>
    </row>
    <row r="21">
      <c r="A21" s="10" t="n"/>
      <c r="B21" s="10" t="n"/>
      <c r="C21" s="11" t="n"/>
      <c r="D21" s="11" t="n"/>
      <c r="E21" s="12" t="n"/>
      <c r="F21" s="12" t="n"/>
      <c r="G21" s="14">
        <f>IF(E21="","",E21-F21)</f>
        <v/>
      </c>
      <c r="H21" s="15">
        <f>IF(C21="","",AsOfDate-C21)</f>
        <v/>
      </c>
      <c r="I21" s="15">
        <f>IF(OR(E21="",G21&lt;=0),"",IF(H21&lt;=7,"0_7",IF(H21&lt;=30,"8_30",IF(H21&lt;=60,"31_60","60_plus"))))</f>
        <v/>
      </c>
      <c r="J21" s="10" t="n"/>
    </row>
    <row r="22">
      <c r="A22" s="10" t="n"/>
      <c r="B22" s="10" t="n"/>
      <c r="C22" s="11" t="n"/>
      <c r="D22" s="11" t="n"/>
      <c r="E22" s="12" t="n"/>
      <c r="F22" s="12" t="n"/>
      <c r="G22" s="14">
        <f>IF(E22="","",E22-F22)</f>
        <v/>
      </c>
      <c r="H22" s="15">
        <f>IF(C22="","",AsOfDate-C22)</f>
        <v/>
      </c>
      <c r="I22" s="15">
        <f>IF(OR(E22="",G22&lt;=0),"",IF(H22&lt;=7,"0_7",IF(H22&lt;=30,"8_30",IF(H22&lt;=60,"31_60","60_plus"))))</f>
        <v/>
      </c>
      <c r="J22" s="10" t="n"/>
    </row>
    <row r="23">
      <c r="A23" s="10" t="n"/>
      <c r="B23" s="10" t="n"/>
      <c r="C23" s="11" t="n"/>
      <c r="D23" s="11" t="n"/>
      <c r="E23" s="12" t="n"/>
      <c r="F23" s="12" t="n"/>
      <c r="G23" s="14">
        <f>IF(E23="","",E23-F23)</f>
        <v/>
      </c>
      <c r="H23" s="15">
        <f>IF(C23="","",AsOfDate-C23)</f>
        <v/>
      </c>
      <c r="I23" s="15">
        <f>IF(OR(E23="",G23&lt;=0),"",IF(H23&lt;=7,"0_7",IF(H23&lt;=30,"8_30",IF(H23&lt;=60,"31_60","60_plus"))))</f>
        <v/>
      </c>
      <c r="J23" s="10" t="n"/>
    </row>
    <row r="24">
      <c r="A24" s="10" t="n"/>
      <c r="B24" s="10" t="n"/>
      <c r="C24" s="11" t="n"/>
      <c r="D24" s="11" t="n"/>
      <c r="E24" s="12" t="n"/>
      <c r="F24" s="12" t="n"/>
      <c r="G24" s="14">
        <f>IF(E24="","",E24-F24)</f>
        <v/>
      </c>
      <c r="H24" s="15">
        <f>IF(C24="","",AsOfDate-C24)</f>
        <v/>
      </c>
      <c r="I24" s="15">
        <f>IF(OR(E24="",G24&lt;=0),"",IF(H24&lt;=7,"0_7",IF(H24&lt;=30,"8_30",IF(H24&lt;=60,"31_60","60_plus"))))</f>
        <v/>
      </c>
      <c r="J24" s="10" t="n"/>
    </row>
    <row r="25">
      <c r="A25" s="10" t="n"/>
      <c r="B25" s="10" t="n"/>
      <c r="C25" s="11" t="n"/>
      <c r="D25" s="11" t="n"/>
      <c r="E25" s="12" t="n"/>
      <c r="F25" s="12" t="n"/>
      <c r="G25" s="14">
        <f>IF(E25="","",E25-F25)</f>
        <v/>
      </c>
      <c r="H25" s="15">
        <f>IF(C25="","",AsOfDate-C25)</f>
        <v/>
      </c>
      <c r="I25" s="15">
        <f>IF(OR(E25="",G25&lt;=0),"",IF(H25&lt;=7,"0_7",IF(H25&lt;=30,"8_30",IF(H25&lt;=60,"31_60","60_plus"))))</f>
        <v/>
      </c>
      <c r="J25" s="10" t="n"/>
    </row>
    <row r="26">
      <c r="A26" s="10" t="n"/>
      <c r="B26" s="10" t="n"/>
      <c r="C26" s="11" t="n"/>
      <c r="D26" s="11" t="n"/>
      <c r="E26" s="12" t="n"/>
      <c r="F26" s="12" t="n"/>
      <c r="G26" s="14">
        <f>IF(E26="","",E26-F26)</f>
        <v/>
      </c>
      <c r="H26" s="15">
        <f>IF(C26="","",AsOfDate-C26)</f>
        <v/>
      </c>
      <c r="I26" s="15">
        <f>IF(OR(E26="",G26&lt;=0),"",IF(H26&lt;=7,"0_7",IF(H26&lt;=30,"8_30",IF(H26&lt;=60,"31_60","60_plus"))))</f>
        <v/>
      </c>
      <c r="J26" s="10" t="n"/>
    </row>
    <row r="27">
      <c r="A27" s="10" t="n"/>
      <c r="B27" s="10" t="n"/>
      <c r="C27" s="11" t="n"/>
      <c r="D27" s="11" t="n"/>
      <c r="E27" s="12" t="n"/>
      <c r="F27" s="12" t="n"/>
      <c r="G27" s="14">
        <f>IF(E27="","",E27-F27)</f>
        <v/>
      </c>
      <c r="H27" s="15">
        <f>IF(C27="","",AsOfDate-C27)</f>
        <v/>
      </c>
      <c r="I27" s="15">
        <f>IF(OR(E27="",G27&lt;=0),"",IF(H27&lt;=7,"0_7",IF(H27&lt;=30,"8_30",IF(H27&lt;=60,"31_60","60_plus"))))</f>
        <v/>
      </c>
      <c r="J27" s="10" t="n"/>
    </row>
    <row r="28">
      <c r="A28" s="10" t="n"/>
      <c r="B28" s="10" t="n"/>
      <c r="C28" s="11" t="n"/>
      <c r="D28" s="11" t="n"/>
      <c r="E28" s="12" t="n"/>
      <c r="F28" s="12" t="n"/>
      <c r="G28" s="14">
        <f>IF(E28="","",E28-F28)</f>
        <v/>
      </c>
      <c r="H28" s="15">
        <f>IF(C28="","",AsOfDate-C28)</f>
        <v/>
      </c>
      <c r="I28" s="15">
        <f>IF(OR(E28="",G28&lt;=0),"",IF(H28&lt;=7,"0_7",IF(H28&lt;=30,"8_30",IF(H28&lt;=60,"31_60","60_plus"))))</f>
        <v/>
      </c>
      <c r="J28" s="10" t="n"/>
    </row>
    <row r="29">
      <c r="A29" s="10" t="n"/>
      <c r="B29" s="10" t="n"/>
      <c r="C29" s="11" t="n"/>
      <c r="D29" s="11" t="n"/>
      <c r="E29" s="12" t="n"/>
      <c r="F29" s="12" t="n"/>
      <c r="G29" s="14">
        <f>IF(E29="","",E29-F29)</f>
        <v/>
      </c>
      <c r="H29" s="15">
        <f>IF(C29="","",AsOfDate-C29)</f>
        <v/>
      </c>
      <c r="I29" s="15">
        <f>IF(OR(E29="",G29&lt;=0),"",IF(H29&lt;=7,"0_7",IF(H29&lt;=30,"8_30",IF(H29&lt;=60,"31_60","60_plus"))))</f>
        <v/>
      </c>
      <c r="J29" s="10" t="n"/>
    </row>
    <row r="30">
      <c r="A30" s="10" t="n"/>
      <c r="B30" s="10" t="n"/>
      <c r="C30" s="11" t="n"/>
      <c r="D30" s="11" t="n"/>
      <c r="E30" s="12" t="n"/>
      <c r="F30" s="12" t="n"/>
      <c r="G30" s="14">
        <f>IF(E30="","",E30-F30)</f>
        <v/>
      </c>
      <c r="H30" s="15">
        <f>IF(C30="","",AsOfDate-C30)</f>
        <v/>
      </c>
      <c r="I30" s="15">
        <f>IF(OR(E30="",G30&lt;=0),"",IF(H30&lt;=7,"0_7",IF(H30&lt;=30,"8_30",IF(H30&lt;=60,"31_60","60_plus"))))</f>
        <v/>
      </c>
      <c r="J30" s="10" t="n"/>
    </row>
    <row r="31">
      <c r="A31" s="10" t="n"/>
      <c r="B31" s="10" t="n"/>
      <c r="C31" s="11" t="n"/>
      <c r="D31" s="11" t="n"/>
      <c r="E31" s="12" t="n"/>
      <c r="F31" s="12" t="n"/>
      <c r="G31" s="14">
        <f>IF(E31="","",E31-F31)</f>
        <v/>
      </c>
      <c r="H31" s="15">
        <f>IF(C31="","",AsOfDate-C31)</f>
        <v/>
      </c>
      <c r="I31" s="15">
        <f>IF(OR(E31="",G31&lt;=0),"",IF(H31&lt;=7,"0_7",IF(H31&lt;=30,"8_30",IF(H31&lt;=60,"31_60","60_plus"))))</f>
        <v/>
      </c>
      <c r="J31" s="10" t="n"/>
    </row>
    <row r="32">
      <c r="A32" s="10" t="n"/>
      <c r="B32" s="10" t="n"/>
      <c r="C32" s="11" t="n"/>
      <c r="D32" s="11" t="n"/>
      <c r="E32" s="12" t="n"/>
      <c r="F32" s="12" t="n"/>
      <c r="G32" s="14">
        <f>IF(E32="","",E32-F32)</f>
        <v/>
      </c>
      <c r="H32" s="15">
        <f>IF(C32="","",AsOfDate-C32)</f>
        <v/>
      </c>
      <c r="I32" s="15">
        <f>IF(OR(E32="",G32&lt;=0),"",IF(H32&lt;=7,"0_7",IF(H32&lt;=30,"8_30",IF(H32&lt;=60,"31_60","60_plus"))))</f>
        <v/>
      </c>
      <c r="J32" s="10" t="n"/>
    </row>
    <row r="33">
      <c r="A33" s="10" t="n"/>
      <c r="B33" s="10" t="n"/>
      <c r="C33" s="11" t="n"/>
      <c r="D33" s="11" t="n"/>
      <c r="E33" s="12" t="n"/>
      <c r="F33" s="12" t="n"/>
      <c r="G33" s="14">
        <f>IF(E33="","",E33-F33)</f>
        <v/>
      </c>
      <c r="H33" s="15">
        <f>IF(C33="","",AsOfDate-C33)</f>
        <v/>
      </c>
      <c r="I33" s="15">
        <f>IF(OR(E33="",G33&lt;=0),"",IF(H33&lt;=7,"0_7",IF(H33&lt;=30,"8_30",IF(H33&lt;=60,"31_60","60_plus"))))</f>
        <v/>
      </c>
      <c r="J33" s="10" t="n"/>
    </row>
    <row r="34">
      <c r="A34" s="10" t="n"/>
      <c r="B34" s="10" t="n"/>
      <c r="C34" s="11" t="n"/>
      <c r="D34" s="11" t="n"/>
      <c r="E34" s="12" t="n"/>
      <c r="F34" s="12" t="n"/>
      <c r="G34" s="14">
        <f>IF(E34="","",E34-F34)</f>
        <v/>
      </c>
      <c r="H34" s="15">
        <f>IF(C34="","",AsOfDate-C34)</f>
        <v/>
      </c>
      <c r="I34" s="15">
        <f>IF(OR(E34="",G34&lt;=0),"",IF(H34&lt;=7,"0_7",IF(H34&lt;=30,"8_30",IF(H34&lt;=60,"31_60","60_plus"))))</f>
        <v/>
      </c>
      <c r="J34" s="10" t="n"/>
    </row>
  </sheetData>
  <conditionalFormatting sqref="G5:G34">
    <cfRule type="expression" priority="1" dxfId="0">
      <formula>AND(G5&gt;0,H5&gt;30)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24" customWidth="1" min="7" max="7"/>
    <col width="29" customWidth="1" min="8" max="8"/>
    <col width="30" customWidth="1" min="9" max="9"/>
  </cols>
  <sheetData>
    <row r="1">
      <c r="A1" s="1" t="inlineStr">
        <is>
          <t>Yetkazib beruvchi qarzlari (Accounts Payable)</t>
        </is>
      </c>
    </row>
    <row r="2">
      <c r="A2" s="2" t="inlineStr">
        <is>
          <t>Xarid bo'yicha kreditorlik. Aging bucketlar AR bilan bir xil.</t>
        </is>
      </c>
    </row>
    <row r="3"/>
    <row r="4" ht="32" customHeight="1">
      <c r="A4" s="9" t="inlineStr">
        <is>
          <t>Yetkazuvchi</t>
        </is>
      </c>
      <c r="B4" s="9" t="inlineStr">
        <is>
          <t>Hujjat_N</t>
        </is>
      </c>
      <c r="C4" s="9" t="inlineStr">
        <is>
          <t>Hujjat_sana</t>
        </is>
      </c>
      <c r="D4" s="9" t="inlineStr">
        <is>
          <t>Muddat</t>
        </is>
      </c>
      <c r="E4" s="9" t="inlineStr">
        <is>
          <t>Jami</t>
        </is>
      </c>
      <c r="F4" s="9" t="inlineStr">
        <is>
          <t>Tolangan</t>
        </is>
      </c>
      <c r="G4" s="9" t="inlineStr">
        <is>
          <t>Qoldiq</t>
        </is>
      </c>
      <c r="H4" s="9" t="inlineStr">
        <is>
          <t>Yosh_kun</t>
        </is>
      </c>
      <c r="I4" s="9" t="inlineStr">
        <is>
          <t>Bucket</t>
        </is>
      </c>
    </row>
    <row r="5">
      <c r="A5" s="10" t="inlineStr">
        <is>
          <t>Yetkazuvchi A</t>
        </is>
      </c>
      <c r="B5" s="10" t="inlineStr">
        <is>
          <t>PO-01</t>
        </is>
      </c>
      <c r="C5" s="11" t="n">
        <v>46235</v>
      </c>
      <c r="D5" s="11" t="n">
        <v>46254</v>
      </c>
      <c r="E5" s="12" t="n">
        <v>400000</v>
      </c>
      <c r="F5" s="12" t="n">
        <v>400000</v>
      </c>
      <c r="G5" s="14">
        <f>E5-F5</f>
        <v/>
      </c>
      <c r="H5" s="15">
        <f>IF(C5="","",AsOfDate-C5)</f>
        <v/>
      </c>
      <c r="I5" s="15">
        <f>IF(G5&lt;=0,"",IF(H5&lt;=7,"0_7",IF(H5&lt;=30,"8_30",IF(H5&lt;=60,"31_60","60_plus"))))</f>
        <v/>
      </c>
    </row>
    <row r="6">
      <c r="A6" s="10" t="inlineStr">
        <is>
          <t>Yetkazuvchi B</t>
        </is>
      </c>
      <c r="B6" s="10" t="inlineStr">
        <is>
          <t>PO-02</t>
        </is>
      </c>
      <c r="C6" s="11" t="n">
        <v>46236</v>
      </c>
      <c r="D6" s="11" t="n">
        <v>46259</v>
      </c>
      <c r="E6" s="12" t="n">
        <v>360000</v>
      </c>
      <c r="F6" s="12" t="n">
        <v>200000</v>
      </c>
      <c r="G6" s="14">
        <f>E6-F6</f>
        <v/>
      </c>
      <c r="H6" s="15">
        <f>IF(C6="","",AsOfDate-C6)</f>
        <v/>
      </c>
      <c r="I6" s="15">
        <f>IF(G6&lt;=0,"",IF(H6&lt;=7,"0_7",IF(H6&lt;=30,"8_30",IF(H6&lt;=60,"31_60","60_plus"))))</f>
        <v/>
      </c>
    </row>
    <row r="7">
      <c r="A7" s="10" t="inlineStr">
        <is>
          <t>Yetkazuvchi A</t>
        </is>
      </c>
      <c r="B7" s="10" t="inlineStr">
        <is>
          <t>PO-03</t>
        </is>
      </c>
      <c r="C7" s="11" t="n">
        <v>46237</v>
      </c>
      <c r="D7" s="11" t="n">
        <v>46259</v>
      </c>
      <c r="E7" s="12" t="n">
        <v>270000</v>
      </c>
      <c r="F7" s="12" t="n">
        <v>0</v>
      </c>
      <c r="G7" s="14">
        <f>E7-F7</f>
        <v/>
      </c>
      <c r="H7" s="15">
        <f>IF(C7="","",AsOfDate-C7)</f>
        <v/>
      </c>
      <c r="I7" s="15">
        <f>IF(G7&lt;=0,"",IF(H7&lt;=7,"0_7",IF(H7&lt;=30,"8_30",IF(H7&lt;=60,"31_60","60_plus"))))</f>
        <v/>
      </c>
    </row>
    <row r="8">
      <c r="A8" s="10" t="inlineStr">
        <is>
          <t>Yetkazuvchi C</t>
        </is>
      </c>
      <c r="B8" s="10" t="inlineStr">
        <is>
          <t>PO-04</t>
        </is>
      </c>
      <c r="C8" s="11" t="n">
        <v>46244</v>
      </c>
      <c r="D8" s="11" t="n">
        <v>46275</v>
      </c>
      <c r="E8" s="12" t="n">
        <v>136000</v>
      </c>
      <c r="F8" s="12" t="n">
        <v>136000</v>
      </c>
      <c r="G8" s="14">
        <f>E8-F8</f>
        <v/>
      </c>
      <c r="H8" s="15">
        <f>IF(C8="","",AsOfDate-C8)</f>
        <v/>
      </c>
      <c r="I8" s="15">
        <f>IF(G8&lt;=0,"",IF(H8&lt;=7,"0_7",IF(H8&lt;=30,"8_30",IF(H8&lt;=60,"31_60","60_plus"))))</f>
        <v/>
      </c>
    </row>
    <row r="9">
      <c r="A9" s="10" t="inlineStr">
        <is>
          <t>Yetkazuvchi B</t>
        </is>
      </c>
      <c r="B9" s="10" t="inlineStr">
        <is>
          <t>PO-05</t>
        </is>
      </c>
      <c r="C9" s="11" t="n">
        <v>46249</v>
      </c>
      <c r="D9" s="11" t="n">
        <v>46280</v>
      </c>
      <c r="E9" s="12" t="n">
        <v>300000</v>
      </c>
      <c r="F9" s="12" t="n">
        <v>100000</v>
      </c>
      <c r="G9" s="14">
        <f>E9-F9</f>
        <v/>
      </c>
      <c r="H9" s="15">
        <f>IF(C9="","",AsOfDate-C9)</f>
        <v/>
      </c>
      <c r="I9" s="15">
        <f>IF(G9&lt;=0,"",IF(H9&lt;=7,"0_7",IF(H9&lt;=30,"8_30",IF(H9&lt;=60,"31_60","60_plus"))))</f>
        <v/>
      </c>
    </row>
    <row r="10">
      <c r="A10" s="10" t="inlineStr">
        <is>
          <t>Yetkazuvchi D</t>
        </is>
      </c>
      <c r="B10" s="10" t="inlineStr">
        <is>
          <t>PO-OLD</t>
        </is>
      </c>
      <c r="C10" s="11" t="n">
        <v>46143</v>
      </c>
      <c r="D10" s="11" t="n">
        <v>46174</v>
      </c>
      <c r="E10" s="12" t="n">
        <v>800000</v>
      </c>
      <c r="F10" s="12" t="n">
        <v>200000</v>
      </c>
      <c r="G10" s="14">
        <f>E10-F10</f>
        <v/>
      </c>
      <c r="H10" s="15">
        <f>IF(C10="","",AsOfDate-C10)</f>
        <v/>
      </c>
      <c r="I10" s="15">
        <f>IF(G10&lt;=0,"",IF(H10&lt;=7,"0_7",IF(H10&lt;=30,"8_30",IF(H10&lt;=60,"31_60","60_plus"))))</f>
        <v/>
      </c>
    </row>
    <row r="11">
      <c r="A11" s="10" t="n"/>
      <c r="B11" s="10" t="n"/>
      <c r="C11" s="11" t="n"/>
      <c r="D11" s="11" t="n"/>
      <c r="E11" s="12" t="n"/>
      <c r="F11" s="12" t="n"/>
      <c r="G11" s="14">
        <f>IF(E11="","",E11-F11)</f>
        <v/>
      </c>
      <c r="H11" s="15">
        <f>IF(C11="","",AsOfDate-C11)</f>
        <v/>
      </c>
      <c r="I11" s="15">
        <f>IF(OR(E11="",G11&lt;=0),"",IF(H11&lt;=7,"0_7",IF(H11&lt;=30,"8_30",IF(H11&lt;=60,"31_60","60_plus"))))</f>
        <v/>
      </c>
    </row>
    <row r="12">
      <c r="A12" s="10" t="n"/>
      <c r="B12" s="10" t="n"/>
      <c r="C12" s="11" t="n"/>
      <c r="D12" s="11" t="n"/>
      <c r="E12" s="12" t="n"/>
      <c r="F12" s="12" t="n"/>
      <c r="G12" s="14">
        <f>IF(E12="","",E12-F12)</f>
        <v/>
      </c>
      <c r="H12" s="15">
        <f>IF(C12="","",AsOfDate-C12)</f>
        <v/>
      </c>
      <c r="I12" s="15">
        <f>IF(OR(E12="",G12&lt;=0),"",IF(H12&lt;=7,"0_7",IF(H12&lt;=30,"8_30",IF(H12&lt;=60,"31_60","60_plus"))))</f>
        <v/>
      </c>
    </row>
    <row r="13">
      <c r="A13" s="10" t="n"/>
      <c r="B13" s="10" t="n"/>
      <c r="C13" s="11" t="n"/>
      <c r="D13" s="11" t="n"/>
      <c r="E13" s="12" t="n"/>
      <c r="F13" s="12" t="n"/>
      <c r="G13" s="14">
        <f>IF(E13="","",E13-F13)</f>
        <v/>
      </c>
      <c r="H13" s="15">
        <f>IF(C13="","",AsOfDate-C13)</f>
        <v/>
      </c>
      <c r="I13" s="15">
        <f>IF(OR(E13="",G13&lt;=0),"",IF(H13&lt;=7,"0_7",IF(H13&lt;=30,"8_30",IF(H13&lt;=60,"31_60","60_plus"))))</f>
        <v/>
      </c>
    </row>
    <row r="14">
      <c r="A14" s="10" t="n"/>
      <c r="B14" s="10" t="n"/>
      <c r="C14" s="11" t="n"/>
      <c r="D14" s="11" t="n"/>
      <c r="E14" s="12" t="n"/>
      <c r="F14" s="12" t="n"/>
      <c r="G14" s="14">
        <f>IF(E14="","",E14-F14)</f>
        <v/>
      </c>
      <c r="H14" s="15">
        <f>IF(C14="","",AsOfDate-C14)</f>
        <v/>
      </c>
      <c r="I14" s="15">
        <f>IF(OR(E14="",G14&lt;=0),"",IF(H14&lt;=7,"0_7",IF(H14&lt;=30,"8_30",IF(H14&lt;=60,"31_60","60_plus"))))</f>
        <v/>
      </c>
    </row>
    <row r="15">
      <c r="A15" s="10" t="n"/>
      <c r="B15" s="10" t="n"/>
      <c r="C15" s="11" t="n"/>
      <c r="D15" s="11" t="n"/>
      <c r="E15" s="12" t="n"/>
      <c r="F15" s="12" t="n"/>
      <c r="G15" s="14">
        <f>IF(E15="","",E15-F15)</f>
        <v/>
      </c>
      <c r="H15" s="15">
        <f>IF(C15="","",AsOfDate-C15)</f>
        <v/>
      </c>
      <c r="I15" s="15">
        <f>IF(OR(E15="",G15&lt;=0),"",IF(H15&lt;=7,"0_7",IF(H15&lt;=30,"8_30",IF(H15&lt;=60,"31_60","60_plus"))))</f>
        <v/>
      </c>
    </row>
    <row r="16">
      <c r="A16" s="10" t="n"/>
      <c r="B16" s="10" t="n"/>
      <c r="C16" s="11" t="n"/>
      <c r="D16" s="11" t="n"/>
      <c r="E16" s="12" t="n"/>
      <c r="F16" s="12" t="n"/>
      <c r="G16" s="14">
        <f>IF(E16="","",E16-F16)</f>
        <v/>
      </c>
      <c r="H16" s="15">
        <f>IF(C16="","",AsOfDate-C16)</f>
        <v/>
      </c>
      <c r="I16" s="15">
        <f>IF(OR(E16="",G16&lt;=0),"",IF(H16&lt;=7,"0_7",IF(H16&lt;=30,"8_30",IF(H16&lt;=60,"31_60","60_plus"))))</f>
        <v/>
      </c>
    </row>
    <row r="17">
      <c r="A17" s="10" t="n"/>
      <c r="B17" s="10" t="n"/>
      <c r="C17" s="11" t="n"/>
      <c r="D17" s="11" t="n"/>
      <c r="E17" s="12" t="n"/>
      <c r="F17" s="12" t="n"/>
      <c r="G17" s="14">
        <f>IF(E17="","",E17-F17)</f>
        <v/>
      </c>
      <c r="H17" s="15">
        <f>IF(C17="","",AsOfDate-C17)</f>
        <v/>
      </c>
      <c r="I17" s="15">
        <f>IF(OR(E17="",G17&lt;=0),"",IF(H17&lt;=7,"0_7",IF(H17&lt;=30,"8_30",IF(H17&lt;=60,"31_60","60_plus"))))</f>
        <v/>
      </c>
    </row>
    <row r="18">
      <c r="A18" s="10" t="n"/>
      <c r="B18" s="10" t="n"/>
      <c r="C18" s="11" t="n"/>
      <c r="D18" s="11" t="n"/>
      <c r="E18" s="12" t="n"/>
      <c r="F18" s="12" t="n"/>
      <c r="G18" s="14">
        <f>IF(E18="","",E18-F18)</f>
        <v/>
      </c>
      <c r="H18" s="15">
        <f>IF(C18="","",AsOfDate-C18)</f>
        <v/>
      </c>
      <c r="I18" s="15">
        <f>IF(OR(E18="",G18&lt;=0),"",IF(H18&lt;=7,"0_7",IF(H18&lt;=30,"8_30",IF(H18&lt;=60,"31_60","60_plus"))))</f>
        <v/>
      </c>
    </row>
    <row r="19">
      <c r="A19" s="10" t="n"/>
      <c r="B19" s="10" t="n"/>
      <c r="C19" s="11" t="n"/>
      <c r="D19" s="11" t="n"/>
      <c r="E19" s="12" t="n"/>
      <c r="F19" s="12" t="n"/>
      <c r="G19" s="14">
        <f>IF(E19="","",E19-F19)</f>
        <v/>
      </c>
      <c r="H19" s="15">
        <f>IF(C19="","",AsOfDate-C19)</f>
        <v/>
      </c>
      <c r="I19" s="15">
        <f>IF(OR(E19="",G19&lt;=0),"",IF(H19&lt;=7,"0_7",IF(H19&lt;=30,"8_30",IF(H19&lt;=60,"31_60","60_plus"))))</f>
        <v/>
      </c>
    </row>
    <row r="20">
      <c r="A20" s="10" t="n"/>
      <c r="B20" s="10" t="n"/>
      <c r="C20" s="11" t="n"/>
      <c r="D20" s="11" t="n"/>
      <c r="E20" s="12" t="n"/>
      <c r="F20" s="12" t="n"/>
      <c r="G20" s="14">
        <f>IF(E20="","",E20-F20)</f>
        <v/>
      </c>
      <c r="H20" s="15">
        <f>IF(C20="","",AsOfDate-C20)</f>
        <v/>
      </c>
      <c r="I20" s="15">
        <f>IF(OR(E20="",G20&lt;=0),"",IF(H20&lt;=7,"0_7",IF(H20&lt;=30,"8_30",IF(H20&lt;=60,"31_60","60_plus"))))</f>
        <v/>
      </c>
    </row>
    <row r="21">
      <c r="A21" s="10" t="n"/>
      <c r="B21" s="10" t="n"/>
      <c r="C21" s="11" t="n"/>
      <c r="D21" s="11" t="n"/>
      <c r="E21" s="12" t="n"/>
      <c r="F21" s="12" t="n"/>
      <c r="G21" s="14">
        <f>IF(E21="","",E21-F21)</f>
        <v/>
      </c>
      <c r="H21" s="15">
        <f>IF(C21="","",AsOfDate-C21)</f>
        <v/>
      </c>
      <c r="I21" s="15">
        <f>IF(OR(E21="",G21&lt;=0),"",IF(H21&lt;=7,"0_7",IF(H21&lt;=30,"8_30",IF(H21&lt;=60,"31_60","60_plus"))))</f>
        <v/>
      </c>
    </row>
    <row r="22">
      <c r="A22" s="10" t="n"/>
      <c r="B22" s="10" t="n"/>
      <c r="C22" s="11" t="n"/>
      <c r="D22" s="11" t="n"/>
      <c r="E22" s="12" t="n"/>
      <c r="F22" s="12" t="n"/>
      <c r="G22" s="14">
        <f>IF(E22="","",E22-F22)</f>
        <v/>
      </c>
      <c r="H22" s="15">
        <f>IF(C22="","",AsOfDate-C22)</f>
        <v/>
      </c>
      <c r="I22" s="15">
        <f>IF(OR(E22="",G22&lt;=0),"",IF(H22&lt;=7,"0_7",IF(H22&lt;=30,"8_30",IF(H22&lt;=60,"31_60","60_plus"))))</f>
        <v/>
      </c>
    </row>
    <row r="23">
      <c r="A23" s="10" t="n"/>
      <c r="B23" s="10" t="n"/>
      <c r="C23" s="11" t="n"/>
      <c r="D23" s="11" t="n"/>
      <c r="E23" s="12" t="n"/>
      <c r="F23" s="12" t="n"/>
      <c r="G23" s="14">
        <f>IF(E23="","",E23-F23)</f>
        <v/>
      </c>
      <c r="H23" s="15">
        <f>IF(C23="","",AsOfDate-C23)</f>
        <v/>
      </c>
      <c r="I23" s="15">
        <f>IF(OR(E23="",G23&lt;=0),"",IF(H23&lt;=7,"0_7",IF(H23&lt;=30,"8_30",IF(H23&lt;=60,"31_60","60_plus"))))</f>
        <v/>
      </c>
    </row>
    <row r="24">
      <c r="A24" s="10" t="n"/>
      <c r="B24" s="10" t="n"/>
      <c r="C24" s="11" t="n"/>
      <c r="D24" s="11" t="n"/>
      <c r="E24" s="12" t="n"/>
      <c r="F24" s="12" t="n"/>
      <c r="G24" s="14">
        <f>IF(E24="","",E24-F24)</f>
        <v/>
      </c>
      <c r="H24" s="15">
        <f>IF(C24="","",AsOfDate-C24)</f>
        <v/>
      </c>
      <c r="I24" s="15">
        <f>IF(OR(E24="",G24&lt;=0),"",IF(H24&lt;=7,"0_7",IF(H24&lt;=30,"8_30",IF(H24&lt;=60,"31_60","60_plus"))))</f>
        <v/>
      </c>
    </row>
    <row r="25">
      <c r="A25" s="10" t="n"/>
      <c r="B25" s="10" t="n"/>
      <c r="C25" s="11" t="n"/>
      <c r="D25" s="11" t="n"/>
      <c r="E25" s="12" t="n"/>
      <c r="F25" s="12" t="n"/>
      <c r="G25" s="14">
        <f>IF(E25="","",E25-F25)</f>
        <v/>
      </c>
      <c r="H25" s="15">
        <f>IF(C25="","",AsOfDate-C25)</f>
        <v/>
      </c>
      <c r="I25" s="15">
        <f>IF(OR(E25="",G25&lt;=0),"",IF(H25&lt;=7,"0_7",IF(H25&lt;=30,"8_30",IF(H25&lt;=60,"31_60","60_plus"))))</f>
        <v/>
      </c>
    </row>
    <row r="26">
      <c r="A26" s="10" t="n"/>
      <c r="B26" s="10" t="n"/>
      <c r="C26" s="11" t="n"/>
      <c r="D26" s="11" t="n"/>
      <c r="E26" s="12" t="n"/>
      <c r="F26" s="12" t="n"/>
      <c r="G26" s="14">
        <f>IF(E26="","",E26-F26)</f>
        <v/>
      </c>
      <c r="H26" s="15">
        <f>IF(C26="","",AsOfDate-C26)</f>
        <v/>
      </c>
      <c r="I26" s="15">
        <f>IF(OR(E26="",G26&lt;=0),"",IF(H26&lt;=7,"0_7",IF(H26&lt;=30,"8_30",IF(H26&lt;=60,"31_60","60_plus"))))</f>
        <v/>
      </c>
    </row>
    <row r="27">
      <c r="A27" s="10" t="n"/>
      <c r="B27" s="10" t="n"/>
      <c r="C27" s="11" t="n"/>
      <c r="D27" s="11" t="n"/>
      <c r="E27" s="12" t="n"/>
      <c r="F27" s="12" t="n"/>
      <c r="G27" s="14">
        <f>IF(E27="","",E27-F27)</f>
        <v/>
      </c>
      <c r="H27" s="15">
        <f>IF(C27="","",AsOfDate-C27)</f>
        <v/>
      </c>
      <c r="I27" s="15">
        <f>IF(OR(E27="",G27&lt;=0),"",IF(H27&lt;=7,"0_7",IF(H27&lt;=30,"8_30",IF(H27&lt;=60,"31_60","60_plus"))))</f>
        <v/>
      </c>
    </row>
    <row r="28">
      <c r="A28" s="10" t="n"/>
      <c r="B28" s="10" t="n"/>
      <c r="C28" s="11" t="n"/>
      <c r="D28" s="11" t="n"/>
      <c r="E28" s="12" t="n"/>
      <c r="F28" s="12" t="n"/>
      <c r="G28" s="14">
        <f>IF(E28="","",E28-F28)</f>
        <v/>
      </c>
      <c r="H28" s="15">
        <f>IF(C28="","",AsOfDate-C28)</f>
        <v/>
      </c>
      <c r="I28" s="15">
        <f>IF(OR(E28="",G28&lt;=0),"",IF(H28&lt;=7,"0_7",IF(H28&lt;=30,"8_30",IF(H28&lt;=60,"31_60","60_plus"))))</f>
        <v/>
      </c>
    </row>
    <row r="29">
      <c r="A29" s="10" t="n"/>
      <c r="B29" s="10" t="n"/>
      <c r="C29" s="11" t="n"/>
      <c r="D29" s="11" t="n"/>
      <c r="E29" s="12" t="n"/>
      <c r="F29" s="12" t="n"/>
      <c r="G29" s="14">
        <f>IF(E29="","",E29-F29)</f>
        <v/>
      </c>
      <c r="H29" s="15">
        <f>IF(C29="","",AsOfDate-C29)</f>
        <v/>
      </c>
      <c r="I29" s="15">
        <f>IF(OR(E29="",G29&lt;=0),"",IF(H29&lt;=7,"0_7",IF(H29&lt;=30,"8_30",IF(H29&lt;=60,"31_60","60_plus"))))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1" customWidth="1" min="4" max="4"/>
    <col width="14" customWidth="1" min="5" max="5"/>
  </cols>
  <sheetData>
    <row r="1">
      <c r="A1" s="1" t="inlineStr">
        <is>
          <t>Xarajatlar (Expenses) - sof foydadan ayiriladi</t>
        </is>
      </c>
    </row>
    <row r="2"/>
    <row r="3"/>
    <row r="4" ht="32" customHeight="1">
      <c r="A4" s="9" t="inlineStr">
        <is>
          <t>Sana</t>
        </is>
      </c>
      <c r="B4" s="9" t="inlineStr">
        <is>
          <t>Kategoriya</t>
        </is>
      </c>
      <c r="C4" s="9" t="inlineStr">
        <is>
          <t>Tavsif</t>
        </is>
      </c>
      <c r="D4" s="9" t="inlineStr">
        <is>
          <t>Summa_UZS</t>
        </is>
      </c>
      <c r="E4" s="9" t="inlineStr">
        <is>
          <t>To'lov_usuli</t>
        </is>
      </c>
    </row>
    <row r="5">
      <c r="A5" s="11" t="n">
        <v>46235</v>
      </c>
      <c r="B5" s="10" t="inlineStr">
        <is>
          <t>Ijara</t>
        </is>
      </c>
      <c r="C5" s="10" t="inlineStr">
        <is>
          <t>Avgust ijara</t>
        </is>
      </c>
      <c r="D5" s="12" t="n">
        <v>2500000</v>
      </c>
      <c r="E5" s="10" t="inlineStr">
        <is>
          <t>transfer</t>
        </is>
      </c>
    </row>
    <row r="6">
      <c r="A6" s="11" t="n">
        <v>46239</v>
      </c>
      <c r="B6" s="10" t="inlineStr">
        <is>
          <t>Kommunal</t>
        </is>
      </c>
      <c r="C6" s="10" t="inlineStr">
        <is>
          <t>Elektr</t>
        </is>
      </c>
      <c r="D6" s="12" t="n">
        <v>350000</v>
      </c>
      <c r="E6" s="10" t="inlineStr">
        <is>
          <t>cash</t>
        </is>
      </c>
    </row>
    <row r="7">
      <c r="A7" s="11" t="n">
        <v>46244</v>
      </c>
      <c r="B7" s="10" t="inlineStr">
        <is>
          <t>Oylik</t>
        </is>
      </c>
      <c r="C7" s="10" t="inlineStr">
        <is>
          <t>Sotuvchi avans</t>
        </is>
      </c>
      <c r="D7" s="12" t="n">
        <v>1000000</v>
      </c>
      <c r="E7" s="10" t="inlineStr">
        <is>
          <t>cash</t>
        </is>
      </c>
    </row>
    <row r="8">
      <c r="A8" s="11" t="n">
        <v>46249</v>
      </c>
      <c r="B8" s="10" t="inlineStr">
        <is>
          <t>Transport</t>
        </is>
      </c>
      <c r="C8" s="10" t="inlineStr">
        <is>
          <t>Yetkazib berish</t>
        </is>
      </c>
      <c r="D8" s="12" t="n">
        <v>180000</v>
      </c>
      <c r="E8" s="10" t="inlineStr">
        <is>
          <t>cash</t>
        </is>
      </c>
    </row>
    <row r="9">
      <c r="A9" s="11" t="n">
        <v>46254</v>
      </c>
      <c r="B9" s="10" t="inlineStr">
        <is>
          <t>Boshqa</t>
        </is>
      </c>
      <c r="C9" s="10" t="inlineStr">
        <is>
          <t>Kantselyariya</t>
        </is>
      </c>
      <c r="D9" s="12" t="n">
        <v>45000</v>
      </c>
      <c r="E9" s="10" t="inlineStr">
        <is>
          <t>card</t>
        </is>
      </c>
    </row>
    <row r="10">
      <c r="A10" s="11" t="n"/>
      <c r="B10" s="10" t="n"/>
      <c r="C10" s="10" t="n"/>
      <c r="D10" s="12" t="n"/>
      <c r="E10" s="10" t="n"/>
    </row>
    <row r="11">
      <c r="A11" s="11" t="n"/>
      <c r="B11" s="10" t="n"/>
      <c r="C11" s="10" t="n"/>
      <c r="D11" s="12" t="n"/>
      <c r="E11" s="10" t="n"/>
    </row>
    <row r="12">
      <c r="A12" s="11" t="n"/>
      <c r="B12" s="10" t="n"/>
      <c r="C12" s="10" t="n"/>
      <c r="D12" s="12" t="n"/>
      <c r="E12" s="10" t="n"/>
    </row>
    <row r="13">
      <c r="A13" s="11" t="n"/>
      <c r="B13" s="10" t="n"/>
      <c r="C13" s="10" t="n"/>
      <c r="D13" s="12" t="n"/>
      <c r="E13" s="10" t="n"/>
    </row>
    <row r="14">
      <c r="A14" s="11" t="n"/>
      <c r="B14" s="10" t="n"/>
      <c r="C14" s="10" t="n"/>
      <c r="D14" s="12" t="n"/>
      <c r="E14" s="10" t="n"/>
    </row>
    <row r="15">
      <c r="A15" s="11" t="n"/>
      <c r="B15" s="10" t="n"/>
      <c r="C15" s="10" t="n"/>
      <c r="D15" s="12" t="n"/>
      <c r="E15" s="10" t="n"/>
    </row>
    <row r="16">
      <c r="A16" s="11" t="n"/>
      <c r="B16" s="10" t="n"/>
      <c r="C16" s="10" t="n"/>
      <c r="D16" s="12" t="n"/>
      <c r="E16" s="10" t="n"/>
    </row>
    <row r="17">
      <c r="A17" s="11" t="n"/>
      <c r="B17" s="10" t="n"/>
      <c r="C17" s="10" t="n"/>
      <c r="D17" s="12" t="n"/>
      <c r="E17" s="10" t="n"/>
    </row>
    <row r="18">
      <c r="A18" s="11" t="n"/>
      <c r="B18" s="10" t="n"/>
      <c r="C18" s="10" t="n"/>
      <c r="D18" s="12" t="n"/>
      <c r="E18" s="10" t="n"/>
    </row>
    <row r="19">
      <c r="A19" s="11" t="n"/>
      <c r="B19" s="10" t="n"/>
      <c r="C19" s="10" t="n"/>
      <c r="D19" s="12" t="n"/>
      <c r="E19" s="10" t="n"/>
    </row>
    <row r="20">
      <c r="A20" s="11" t="n"/>
      <c r="B20" s="10" t="n"/>
      <c r="C20" s="10" t="n"/>
      <c r="D20" s="12" t="n"/>
      <c r="E20" s="10" t="n"/>
    </row>
    <row r="21">
      <c r="A21" s="11" t="n"/>
      <c r="B21" s="10" t="n"/>
      <c r="C21" s="10" t="n"/>
      <c r="D21" s="12" t="n"/>
      <c r="E21" s="10" t="n"/>
    </row>
    <row r="22">
      <c r="A22" s="11" t="n"/>
      <c r="B22" s="10" t="n"/>
      <c r="C22" s="10" t="n"/>
      <c r="D22" s="12" t="n"/>
      <c r="E22" s="10" t="n"/>
    </row>
    <row r="23">
      <c r="A23" s="11" t="n"/>
      <c r="B23" s="10" t="n"/>
      <c r="C23" s="10" t="n"/>
      <c r="D23" s="12" t="n"/>
      <c r="E23" s="10" t="n"/>
    </row>
    <row r="24">
      <c r="A24" s="11" t="n"/>
      <c r="B24" s="10" t="n"/>
      <c r="C24" s="10" t="n"/>
      <c r="D24" s="12" t="n"/>
      <c r="E24" s="10" t="n"/>
    </row>
    <row r="25">
      <c r="A25" s="11" t="n"/>
      <c r="B25" s="10" t="n"/>
      <c r="C25" s="10" t="n"/>
      <c r="D25" s="12" t="n"/>
      <c r="E25" s="10" t="n"/>
    </row>
    <row r="26">
      <c r="A26" s="11" t="n"/>
      <c r="B26" s="10" t="n"/>
      <c r="C26" s="10" t="n"/>
      <c r="D26" s="12" t="n"/>
      <c r="E26" s="10" t="n"/>
    </row>
    <row r="27">
      <c r="A27" s="11" t="n"/>
      <c r="B27" s="10" t="n"/>
      <c r="C27" s="10" t="n"/>
      <c r="D27" s="12" t="n"/>
      <c r="E27" s="10" t="n"/>
    </row>
    <row r="28">
      <c r="A28" s="11" t="n"/>
      <c r="B28" s="10" t="n"/>
      <c r="C28" s="10" t="n"/>
      <c r="D28" s="12" t="n"/>
      <c r="E28" s="10" t="n"/>
    </row>
    <row r="29">
      <c r="A29" s="11" t="n"/>
      <c r="B29" s="10" t="n"/>
      <c r="C29" s="10" t="n"/>
      <c r="D29" s="12" t="n"/>
      <c r="E29" s="10" t="n"/>
    </row>
    <row r="30">
      <c r="A30" s="11" t="n"/>
      <c r="B30" s="10" t="n"/>
      <c r="C30" s="10" t="n"/>
      <c r="D30" s="12" t="n"/>
      <c r="E30" s="10" t="n"/>
    </row>
    <row r="31">
      <c r="A31" s="11" t="n"/>
      <c r="B31" s="10" t="n"/>
      <c r="C31" s="10" t="n"/>
      <c r="D31" s="12" t="n"/>
      <c r="E31" s="10" t="n"/>
    </row>
    <row r="32">
      <c r="A32" s="11" t="n"/>
      <c r="B32" s="10" t="n"/>
      <c r="C32" s="10" t="n"/>
      <c r="D32" s="12" t="n"/>
      <c r="E32" s="10" t="n"/>
    </row>
    <row r="33">
      <c r="A33" s="11" t="n"/>
      <c r="B33" s="10" t="n"/>
      <c r="C33" s="10" t="n"/>
      <c r="D33" s="12" t="n"/>
      <c r="E33" s="10" t="n"/>
    </row>
    <row r="34">
      <c r="A34" s="11" t="n"/>
      <c r="B34" s="10" t="n"/>
      <c r="C34" s="10" t="n"/>
      <c r="D34" s="12" t="n"/>
      <c r="E34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4" customWidth="1" min="9" max="9"/>
    <col width="30" customWidth="1" min="10" max="10"/>
    <col width="24" customWidth="1" min="11" max="11"/>
    <col width="30" customWidth="1" min="12" max="12"/>
  </cols>
  <sheetData>
    <row r="1">
      <c r="A1" s="1" t="inlineStr">
        <is>
          <t>Ombor / Qoldiq (Inventory) - ochilish + kirim - chiqim = yopilish</t>
        </is>
      </c>
    </row>
    <row r="2">
      <c r="A2" s="2" t="inlineStr">
        <is>
          <t>Kirim = 04_Xaridlar. Chiqim = 03_Sotuvlar. Qaytarish = 05 (omborga qaytadi). 02_Harakatlar alohida ledger - bu varaqqa qo'shilMAYDI (ikkilanishning oldini olish). O'rtacha tannarx = (Ochilish_qiymat + Xarid_summa) / (Ochilish_qty + Xarid_qty).</t>
        </is>
      </c>
    </row>
    <row r="3"/>
    <row r="4" ht="32" customHeight="1">
      <c r="A4" s="9" t="inlineStr">
        <is>
          <t>Kod</t>
        </is>
      </c>
      <c r="B4" s="9" t="inlineStr">
        <is>
          <t>Nomi</t>
        </is>
      </c>
      <c r="C4" s="9" t="inlineStr">
        <is>
          <t>Ochilish_qty</t>
        </is>
      </c>
      <c r="D4" s="9" t="inlineStr">
        <is>
          <t>Kirim_qty</t>
        </is>
      </c>
      <c r="E4" s="9" t="inlineStr">
        <is>
          <t>Chiqim_qty</t>
        </is>
      </c>
      <c r="F4" s="9" t="inlineStr">
        <is>
          <t>Qaytarish_qty</t>
        </is>
      </c>
      <c r="G4" s="9" t="inlineStr">
        <is>
          <t>Yopilish_qty</t>
        </is>
      </c>
      <c r="H4" s="9" t="inlineStr">
        <is>
          <t>O_rtacha_tannarx</t>
        </is>
      </c>
      <c r="I4" s="9" t="inlineStr">
        <is>
          <t>Yopilish_qiymat</t>
        </is>
      </c>
      <c r="J4" s="9" t="inlineStr">
        <is>
          <t>Sotuv_narxi</t>
        </is>
      </c>
      <c r="K4" s="9" t="inlineStr">
        <is>
          <t>Potensial_tushum</t>
        </is>
      </c>
      <c r="L4" s="9" t="inlineStr">
        <is>
          <t>Status</t>
        </is>
      </c>
    </row>
    <row r="5">
      <c r="A5" s="10" t="inlineStr">
        <is>
          <t>PRD-001</t>
        </is>
      </c>
      <c r="B5" s="15">
        <f>IFERROR(XLOOKUP(A5,tblProducts[Kod],tblProducts[Nomi]),"-")</f>
        <v/>
      </c>
      <c r="C5" s="16">
        <f>IFERROR(XLOOKUP(A5,tblProducts[Kod],tblProducts[Boshlangich_qty]),0)</f>
        <v/>
      </c>
      <c r="D5" s="16">
        <f>SUMIF(tblPurchases[Mahsulot_kod],A5,tblPurchases[Miqdor])</f>
        <v/>
      </c>
      <c r="E5" s="16">
        <f>SUMIF(tblSales[Mahsulot_kod],A5,tblSales[Miqdor])</f>
        <v/>
      </c>
      <c r="F5" s="16">
        <f>SUMIF(tblReturns[Mahsulot_kod],A5,tblReturns[Miqdor])</f>
        <v/>
      </c>
      <c r="G5" s="16">
        <f>C5+D5-E5+F5</f>
        <v/>
      </c>
      <c r="H5" s="14">
        <f>IFERROR((XLOOKUP(A5,tblProducts[Kod],tblProducts[Boshlangich_qiymat])+SUMIF(tblPurchases[Mahsulot_kod],A5,tblPurchases[Summa_UZS]))/(C5+SUMIF(tblPurchases[Mahsulot_kod],A5,tblPurchases[Miqdor])), XLOOKUP(A5,tblProducts[Kod],tblProducts[Boshlangich_tannarx]))</f>
        <v/>
      </c>
      <c r="I5" s="14">
        <f>G5*H5</f>
        <v/>
      </c>
      <c r="J5" s="14">
        <f>IFERROR(XLOOKUP(A5,tblProducts[Kod],tblProducts[Sotuv_narxi]),0)</f>
        <v/>
      </c>
      <c r="K5" s="14">
        <f>G5*J5</f>
        <v/>
      </c>
      <c r="L5" s="15">
        <f>IF(G5&lt;=IFERROR(XLOOKUP(A5,tblProducts[Kod],tblProducts[Minimal_qoldiq]),0),"PAST MIN","OK")</f>
        <v/>
      </c>
    </row>
    <row r="6">
      <c r="A6" s="10" t="inlineStr">
        <is>
          <t>PRD-002</t>
        </is>
      </c>
      <c r="B6" s="15">
        <f>IFERROR(XLOOKUP(A6,tblProducts[Kod],tblProducts[Nomi]),"-")</f>
        <v/>
      </c>
      <c r="C6" s="16">
        <f>IFERROR(XLOOKUP(A6,tblProducts[Kod],tblProducts[Boshlangich_qty]),0)</f>
        <v/>
      </c>
      <c r="D6" s="16">
        <f>SUMIF(tblPurchases[Mahsulot_kod],A6,tblPurchases[Miqdor])</f>
        <v/>
      </c>
      <c r="E6" s="16">
        <f>SUMIF(tblSales[Mahsulot_kod],A6,tblSales[Miqdor])</f>
        <v/>
      </c>
      <c r="F6" s="16">
        <f>SUMIF(tblReturns[Mahsulot_kod],A6,tblReturns[Miqdor])</f>
        <v/>
      </c>
      <c r="G6" s="16">
        <f>C6+D6-E6+F6</f>
        <v/>
      </c>
      <c r="H6" s="14">
        <f>IFERROR((XLOOKUP(A6,tblProducts[Kod],tblProducts[Boshlangich_qiymat])+SUMIF(tblPurchases[Mahsulot_kod],A6,tblPurchases[Summa_UZS]))/(C6+SUMIF(tblPurchases[Mahsulot_kod],A6,tblPurchases[Miqdor])), XLOOKUP(A6,tblProducts[Kod],tblProducts[Boshlangich_tannarx]))</f>
        <v/>
      </c>
      <c r="I6" s="14">
        <f>G6*H6</f>
        <v/>
      </c>
      <c r="J6" s="14">
        <f>IFERROR(XLOOKUP(A6,tblProducts[Kod],tblProducts[Sotuv_narxi]),0)</f>
        <v/>
      </c>
      <c r="K6" s="14">
        <f>G6*J6</f>
        <v/>
      </c>
      <c r="L6" s="15">
        <f>IF(G6&lt;=IFERROR(XLOOKUP(A6,tblProducts[Kod],tblProducts[Minimal_qoldiq]),0),"PAST MIN","OK")</f>
        <v/>
      </c>
    </row>
    <row r="7">
      <c r="A7" s="10" t="inlineStr">
        <is>
          <t>PRD-003</t>
        </is>
      </c>
      <c r="B7" s="15">
        <f>IFERROR(XLOOKUP(A7,tblProducts[Kod],tblProducts[Nomi]),"-")</f>
        <v/>
      </c>
      <c r="C7" s="16">
        <f>IFERROR(XLOOKUP(A7,tblProducts[Kod],tblProducts[Boshlangich_qty]),0)</f>
        <v/>
      </c>
      <c r="D7" s="16">
        <f>SUMIF(tblPurchases[Mahsulot_kod],A7,tblPurchases[Miqdor])</f>
        <v/>
      </c>
      <c r="E7" s="16">
        <f>SUMIF(tblSales[Mahsulot_kod],A7,tblSales[Miqdor])</f>
        <v/>
      </c>
      <c r="F7" s="16">
        <f>SUMIF(tblReturns[Mahsulot_kod],A7,tblReturns[Miqdor])</f>
        <v/>
      </c>
      <c r="G7" s="16">
        <f>C7+D7-E7+F7</f>
        <v/>
      </c>
      <c r="H7" s="14">
        <f>IFERROR((XLOOKUP(A7,tblProducts[Kod],tblProducts[Boshlangich_qiymat])+SUMIF(tblPurchases[Mahsulot_kod],A7,tblPurchases[Summa_UZS]))/(C7+SUMIF(tblPurchases[Mahsulot_kod],A7,tblPurchases[Miqdor])), XLOOKUP(A7,tblProducts[Kod],tblProducts[Boshlangich_tannarx]))</f>
        <v/>
      </c>
      <c r="I7" s="14">
        <f>G7*H7</f>
        <v/>
      </c>
      <c r="J7" s="14">
        <f>IFERROR(XLOOKUP(A7,tblProducts[Kod],tblProducts[Sotuv_narxi]),0)</f>
        <v/>
      </c>
      <c r="K7" s="14">
        <f>G7*J7</f>
        <v/>
      </c>
      <c r="L7" s="15">
        <f>IF(G7&lt;=IFERROR(XLOOKUP(A7,tblProducts[Kod],tblProducts[Minimal_qoldiq]),0),"PAST MIN","OK")</f>
        <v/>
      </c>
    </row>
    <row r="8">
      <c r="A8" s="10" t="inlineStr">
        <is>
          <t>PRD-004</t>
        </is>
      </c>
      <c r="B8" s="15">
        <f>IFERROR(XLOOKUP(A8,tblProducts[Kod],tblProducts[Nomi]),"-")</f>
        <v/>
      </c>
      <c r="C8" s="16">
        <f>IFERROR(XLOOKUP(A8,tblProducts[Kod],tblProducts[Boshlangich_qty]),0)</f>
        <v/>
      </c>
      <c r="D8" s="16">
        <f>SUMIF(tblPurchases[Mahsulot_kod],A8,tblPurchases[Miqdor])</f>
        <v/>
      </c>
      <c r="E8" s="16">
        <f>SUMIF(tblSales[Mahsulot_kod],A8,tblSales[Miqdor])</f>
        <v/>
      </c>
      <c r="F8" s="16">
        <f>SUMIF(tblReturns[Mahsulot_kod],A8,tblReturns[Miqdor])</f>
        <v/>
      </c>
      <c r="G8" s="16">
        <f>C8+D8-E8+F8</f>
        <v/>
      </c>
      <c r="H8" s="14">
        <f>IFERROR((XLOOKUP(A8,tblProducts[Kod],tblProducts[Boshlangich_qiymat])+SUMIF(tblPurchases[Mahsulot_kod],A8,tblPurchases[Summa_UZS]))/(C8+SUMIF(tblPurchases[Mahsulot_kod],A8,tblPurchases[Miqdor])), XLOOKUP(A8,tblProducts[Kod],tblProducts[Boshlangich_tannarx]))</f>
        <v/>
      </c>
      <c r="I8" s="14">
        <f>G8*H8</f>
        <v/>
      </c>
      <c r="J8" s="14">
        <f>IFERROR(XLOOKUP(A8,tblProducts[Kod],tblProducts[Sotuv_narxi]),0)</f>
        <v/>
      </c>
      <c r="K8" s="14">
        <f>G8*J8</f>
        <v/>
      </c>
      <c r="L8" s="15">
        <f>IF(G8&lt;=IFERROR(XLOOKUP(A8,tblProducts[Kod],tblProducts[Minimal_qoldiq]),0),"PAST MIN","OK")</f>
        <v/>
      </c>
    </row>
    <row r="9">
      <c r="A9" s="10" t="inlineStr">
        <is>
          <t>PRD-005</t>
        </is>
      </c>
      <c r="B9" s="15">
        <f>IFERROR(XLOOKUP(A9,tblProducts[Kod],tblProducts[Nomi]),"-")</f>
        <v/>
      </c>
      <c r="C9" s="16">
        <f>IFERROR(XLOOKUP(A9,tblProducts[Kod],tblProducts[Boshlangich_qty]),0)</f>
        <v/>
      </c>
      <c r="D9" s="16">
        <f>SUMIF(tblPurchases[Mahsulot_kod],A9,tblPurchases[Miqdor])</f>
        <v/>
      </c>
      <c r="E9" s="16">
        <f>SUMIF(tblSales[Mahsulot_kod],A9,tblSales[Miqdor])</f>
        <v/>
      </c>
      <c r="F9" s="16">
        <f>SUMIF(tblReturns[Mahsulot_kod],A9,tblReturns[Miqdor])</f>
        <v/>
      </c>
      <c r="G9" s="16">
        <f>C9+D9-E9+F9</f>
        <v/>
      </c>
      <c r="H9" s="14">
        <f>IFERROR((XLOOKUP(A9,tblProducts[Kod],tblProducts[Boshlangich_qiymat])+SUMIF(tblPurchases[Mahsulot_kod],A9,tblPurchases[Summa_UZS]))/(C9+SUMIF(tblPurchases[Mahsulot_kod],A9,tblPurchases[Miqdor])), XLOOKUP(A9,tblProducts[Kod],tblProducts[Boshlangich_tannarx]))</f>
        <v/>
      </c>
      <c r="I9" s="14">
        <f>G9*H9</f>
        <v/>
      </c>
      <c r="J9" s="14">
        <f>IFERROR(XLOOKUP(A9,tblProducts[Kod],tblProducts[Sotuv_narxi]),0)</f>
        <v/>
      </c>
      <c r="K9" s="14">
        <f>G9*J9</f>
        <v/>
      </c>
      <c r="L9" s="15">
        <f>IF(G9&lt;=IFERROR(XLOOKUP(A9,tblProducts[Kod],tblProducts[Minimal_qoldiq]),0),"PAST MIN","OK")</f>
        <v/>
      </c>
    </row>
    <row r="10">
      <c r="A10" s="10" t="n"/>
      <c r="B10" s="15">
        <f>IF(A10="","",IFERROR(XLOOKUP(A10,tblProducts[Kod],tblProducts[Nomi]),"-"))</f>
        <v/>
      </c>
      <c r="C10" s="16">
        <f>IF(A10="","",IFERROR(XLOOKUP(A10,tblProducts[Kod],tblProducts[Boshlangich_qty]),0))</f>
        <v/>
      </c>
      <c r="D10" s="16">
        <f>IF(A10="","",SUMIF(tblPurchases[Mahsulot_kod],A10,tblPurchases[Miqdor]))</f>
        <v/>
      </c>
      <c r="E10" s="16">
        <f>IF(A10="","",SUMIF(tblSales[Mahsulot_kod],A10,tblSales[Miqdor]))</f>
        <v/>
      </c>
      <c r="F10" s="16">
        <f>IF(A10="","",SUMIF(tblReturns[Mahsulot_kod],A10,tblReturns[Miqdor]))</f>
        <v/>
      </c>
      <c r="G10" s="16">
        <f>IF(A10="","",C10+D10-E10+F10)</f>
        <v/>
      </c>
      <c r="H10" s="14">
        <f>IF(A10="","",IFERROR((XLOOKUP(A10,tblProducts[Kod],tblProducts[Boshlangich_qiymat])+SUMIF(tblPurchases[Mahsulot_kod],A10,tblPurchases[Summa_UZS]))/(C10+SUMIF(tblPurchases[Mahsulot_kod],A10,tblPurchases[Miqdor])),XLOOKUP(A10,tblProducts[Kod],tblProducts[Boshlangich_tannarx])))</f>
        <v/>
      </c>
      <c r="I10" s="14">
        <f>IF(A10="","",G10*H10)</f>
        <v/>
      </c>
      <c r="J10" s="14">
        <f>IF(A10="","",IFERROR(XLOOKUP(A10,tblProducts[Kod],tblProducts[Sotuv_narxi]),0))</f>
        <v/>
      </c>
      <c r="K10" s="14">
        <f>IF(A10="","",G10*J10)</f>
        <v/>
      </c>
      <c r="L10" s="15">
        <f>IF(A10="","",IF(G10&lt;=IFERROR(XLOOKUP(A10,tblProducts[Kod],tblProducts[Minimal_qoldiq]),0),"PAST MIN","OK"))</f>
        <v/>
      </c>
    </row>
    <row r="11">
      <c r="A11" s="10" t="n"/>
      <c r="B11" s="15">
        <f>IF(A11="","",IFERROR(XLOOKUP(A11,tblProducts[Kod],tblProducts[Nomi]),"-"))</f>
        <v/>
      </c>
      <c r="C11" s="16">
        <f>IF(A11="","",IFERROR(XLOOKUP(A11,tblProducts[Kod],tblProducts[Boshlangich_qty]),0))</f>
        <v/>
      </c>
      <c r="D11" s="16">
        <f>IF(A11="","",SUMIF(tblPurchases[Mahsulot_kod],A11,tblPurchases[Miqdor]))</f>
        <v/>
      </c>
      <c r="E11" s="16">
        <f>IF(A11="","",SUMIF(tblSales[Mahsulot_kod],A11,tblSales[Miqdor]))</f>
        <v/>
      </c>
      <c r="F11" s="16">
        <f>IF(A11="","",SUMIF(tblReturns[Mahsulot_kod],A11,tblReturns[Miqdor]))</f>
        <v/>
      </c>
      <c r="G11" s="16">
        <f>IF(A11="","",C11+D11-E11+F11)</f>
        <v/>
      </c>
      <c r="H11" s="14">
        <f>IF(A11="","",IFERROR((XLOOKUP(A11,tblProducts[Kod],tblProducts[Boshlangich_qiymat])+SUMIF(tblPurchases[Mahsulot_kod],A11,tblPurchases[Summa_UZS]))/(C11+SUMIF(tblPurchases[Mahsulot_kod],A11,tblPurchases[Miqdor])),XLOOKUP(A11,tblProducts[Kod],tblProducts[Boshlangich_tannarx])))</f>
        <v/>
      </c>
      <c r="I11" s="14">
        <f>IF(A11="","",G11*H11)</f>
        <v/>
      </c>
      <c r="J11" s="14">
        <f>IF(A11="","",IFERROR(XLOOKUP(A11,tblProducts[Kod],tblProducts[Sotuv_narxi]),0))</f>
        <v/>
      </c>
      <c r="K11" s="14">
        <f>IF(A11="","",G11*J11)</f>
        <v/>
      </c>
      <c r="L11" s="15">
        <f>IF(A11="","",IF(G11&lt;=IFERROR(XLOOKUP(A11,tblProducts[Kod],tblProducts[Minimal_qoldiq]),0),"PAST MIN","OK"))</f>
        <v/>
      </c>
    </row>
    <row r="12">
      <c r="A12" s="10" t="n"/>
      <c r="B12" s="15">
        <f>IF(A12="","",IFERROR(XLOOKUP(A12,tblProducts[Kod],tblProducts[Nomi]),"-"))</f>
        <v/>
      </c>
      <c r="C12" s="16">
        <f>IF(A12="","",IFERROR(XLOOKUP(A12,tblProducts[Kod],tblProducts[Boshlangich_qty]),0))</f>
        <v/>
      </c>
      <c r="D12" s="16">
        <f>IF(A12="","",SUMIF(tblPurchases[Mahsulot_kod],A12,tblPurchases[Miqdor]))</f>
        <v/>
      </c>
      <c r="E12" s="16">
        <f>IF(A12="","",SUMIF(tblSales[Mahsulot_kod],A12,tblSales[Miqdor]))</f>
        <v/>
      </c>
      <c r="F12" s="16">
        <f>IF(A12="","",SUMIF(tblReturns[Mahsulot_kod],A12,tblReturns[Miqdor]))</f>
        <v/>
      </c>
      <c r="G12" s="16">
        <f>IF(A12="","",C12+D12-E12+F12)</f>
        <v/>
      </c>
      <c r="H12" s="14">
        <f>IF(A12="","",IFERROR((XLOOKUP(A12,tblProducts[Kod],tblProducts[Boshlangich_qiymat])+SUMIF(tblPurchases[Mahsulot_kod],A12,tblPurchases[Summa_UZS]))/(C12+SUMIF(tblPurchases[Mahsulot_kod],A12,tblPurchases[Miqdor])),XLOOKUP(A12,tblProducts[Kod],tblProducts[Boshlangich_tannarx])))</f>
        <v/>
      </c>
      <c r="I12" s="14">
        <f>IF(A12="","",G12*H12)</f>
        <v/>
      </c>
      <c r="J12" s="14">
        <f>IF(A12="","",IFERROR(XLOOKUP(A12,tblProducts[Kod],tblProducts[Sotuv_narxi]),0))</f>
        <v/>
      </c>
      <c r="K12" s="14">
        <f>IF(A12="","",G12*J12)</f>
        <v/>
      </c>
      <c r="L12" s="15">
        <f>IF(A12="","",IF(G12&lt;=IFERROR(XLOOKUP(A12,tblProducts[Kod],tblProducts[Minimal_qoldiq]),0),"PAST MIN","OK"))</f>
        <v/>
      </c>
    </row>
    <row r="13">
      <c r="A13" s="10" t="n"/>
      <c r="B13" s="15">
        <f>IF(A13="","",IFERROR(XLOOKUP(A13,tblProducts[Kod],tblProducts[Nomi]),"-"))</f>
        <v/>
      </c>
      <c r="C13" s="16">
        <f>IF(A13="","",IFERROR(XLOOKUP(A13,tblProducts[Kod],tblProducts[Boshlangich_qty]),0))</f>
        <v/>
      </c>
      <c r="D13" s="16">
        <f>IF(A13="","",SUMIF(tblPurchases[Mahsulot_kod],A13,tblPurchases[Miqdor]))</f>
        <v/>
      </c>
      <c r="E13" s="16">
        <f>IF(A13="","",SUMIF(tblSales[Mahsulot_kod],A13,tblSales[Miqdor]))</f>
        <v/>
      </c>
      <c r="F13" s="16">
        <f>IF(A13="","",SUMIF(tblReturns[Mahsulot_kod],A13,tblReturns[Miqdor]))</f>
        <v/>
      </c>
      <c r="G13" s="16">
        <f>IF(A13="","",C13+D13-E13+F13)</f>
        <v/>
      </c>
      <c r="H13" s="14">
        <f>IF(A13="","",IFERROR((XLOOKUP(A13,tblProducts[Kod],tblProducts[Boshlangich_qiymat])+SUMIF(tblPurchases[Mahsulot_kod],A13,tblPurchases[Summa_UZS]))/(C13+SUMIF(tblPurchases[Mahsulot_kod],A13,tblPurchases[Miqdor])),XLOOKUP(A13,tblProducts[Kod],tblProducts[Boshlangich_tannarx])))</f>
        <v/>
      </c>
      <c r="I13" s="14">
        <f>IF(A13="","",G13*H13)</f>
        <v/>
      </c>
      <c r="J13" s="14">
        <f>IF(A13="","",IFERROR(XLOOKUP(A13,tblProducts[Kod],tblProducts[Sotuv_narxi]),0))</f>
        <v/>
      </c>
      <c r="K13" s="14">
        <f>IF(A13="","",G13*J13)</f>
        <v/>
      </c>
      <c r="L13" s="15">
        <f>IF(A13="","",IF(G13&lt;=IFERROR(XLOOKUP(A13,tblProducts[Kod],tblProducts[Minimal_qoldiq]),0),"PAST MIN","OK"))</f>
        <v/>
      </c>
    </row>
    <row r="14">
      <c r="A14" s="10" t="n"/>
      <c r="B14" s="15">
        <f>IF(A14="","",IFERROR(XLOOKUP(A14,tblProducts[Kod],tblProducts[Nomi]),"-"))</f>
        <v/>
      </c>
      <c r="C14" s="16">
        <f>IF(A14="","",IFERROR(XLOOKUP(A14,tblProducts[Kod],tblProducts[Boshlangich_qty]),0))</f>
        <v/>
      </c>
      <c r="D14" s="16">
        <f>IF(A14="","",SUMIF(tblPurchases[Mahsulot_kod],A14,tblPurchases[Miqdor]))</f>
        <v/>
      </c>
      <c r="E14" s="16">
        <f>IF(A14="","",SUMIF(tblSales[Mahsulot_kod],A14,tblSales[Miqdor]))</f>
        <v/>
      </c>
      <c r="F14" s="16">
        <f>IF(A14="","",SUMIF(tblReturns[Mahsulot_kod],A14,tblReturns[Miqdor]))</f>
        <v/>
      </c>
      <c r="G14" s="16">
        <f>IF(A14="","",C14+D14-E14+F14)</f>
        <v/>
      </c>
      <c r="H14" s="14">
        <f>IF(A14="","",IFERROR((XLOOKUP(A14,tblProducts[Kod],tblProducts[Boshlangich_qiymat])+SUMIF(tblPurchases[Mahsulot_kod],A14,tblPurchases[Summa_UZS]))/(C14+SUMIF(tblPurchases[Mahsulot_kod],A14,tblPurchases[Miqdor])),XLOOKUP(A14,tblProducts[Kod],tblProducts[Boshlangich_tannarx])))</f>
        <v/>
      </c>
      <c r="I14" s="14">
        <f>IF(A14="","",G14*H14)</f>
        <v/>
      </c>
      <c r="J14" s="14">
        <f>IF(A14="","",IFERROR(XLOOKUP(A14,tblProducts[Kod],tblProducts[Sotuv_narxi]),0))</f>
        <v/>
      </c>
      <c r="K14" s="14">
        <f>IF(A14="","",G14*J14)</f>
        <v/>
      </c>
      <c r="L14" s="15">
        <f>IF(A14="","",IF(G14&lt;=IFERROR(XLOOKUP(A14,tblProducts[Kod],tblProducts[Minimal_qoldiq]),0),"PAST MIN","OK"))</f>
        <v/>
      </c>
    </row>
    <row r="15">
      <c r="A15" s="10" t="n"/>
      <c r="B15" s="15">
        <f>IF(A15="","",IFERROR(XLOOKUP(A15,tblProducts[Kod],tblProducts[Nomi]),"-"))</f>
        <v/>
      </c>
      <c r="C15" s="16">
        <f>IF(A15="","",IFERROR(XLOOKUP(A15,tblProducts[Kod],tblProducts[Boshlangich_qty]),0))</f>
        <v/>
      </c>
      <c r="D15" s="16">
        <f>IF(A15="","",SUMIF(tblPurchases[Mahsulot_kod],A15,tblPurchases[Miqdor]))</f>
        <v/>
      </c>
      <c r="E15" s="16">
        <f>IF(A15="","",SUMIF(tblSales[Mahsulot_kod],A15,tblSales[Miqdor]))</f>
        <v/>
      </c>
      <c r="F15" s="16">
        <f>IF(A15="","",SUMIF(tblReturns[Mahsulot_kod],A15,tblReturns[Miqdor]))</f>
        <v/>
      </c>
      <c r="G15" s="16">
        <f>IF(A15="","",C15+D15-E15+F15)</f>
        <v/>
      </c>
      <c r="H15" s="14">
        <f>IF(A15="","",IFERROR((XLOOKUP(A15,tblProducts[Kod],tblProducts[Boshlangich_qiymat])+SUMIF(tblPurchases[Mahsulot_kod],A15,tblPurchases[Summa_UZS]))/(C15+SUMIF(tblPurchases[Mahsulot_kod],A15,tblPurchases[Miqdor])),XLOOKUP(A15,tblProducts[Kod],tblProducts[Boshlangich_tannarx])))</f>
        <v/>
      </c>
      <c r="I15" s="14">
        <f>IF(A15="","",G15*H15)</f>
        <v/>
      </c>
      <c r="J15" s="14">
        <f>IF(A15="","",IFERROR(XLOOKUP(A15,tblProducts[Kod],tblProducts[Sotuv_narxi]),0))</f>
        <v/>
      </c>
      <c r="K15" s="14">
        <f>IF(A15="","",G15*J15)</f>
        <v/>
      </c>
      <c r="L15" s="15">
        <f>IF(A15="","",IF(G15&lt;=IFERROR(XLOOKUP(A15,tblProducts[Kod],tblProducts[Minimal_qoldiq]),0),"PAST MIN","OK"))</f>
        <v/>
      </c>
    </row>
    <row r="16">
      <c r="A16" s="10" t="n"/>
      <c r="B16" s="15">
        <f>IF(A16="","",IFERROR(XLOOKUP(A16,tblProducts[Kod],tblProducts[Nomi]),"-"))</f>
        <v/>
      </c>
      <c r="C16" s="16">
        <f>IF(A16="","",IFERROR(XLOOKUP(A16,tblProducts[Kod],tblProducts[Boshlangich_qty]),0))</f>
        <v/>
      </c>
      <c r="D16" s="16">
        <f>IF(A16="","",SUMIF(tblPurchases[Mahsulot_kod],A16,tblPurchases[Miqdor]))</f>
        <v/>
      </c>
      <c r="E16" s="16">
        <f>IF(A16="","",SUMIF(tblSales[Mahsulot_kod],A16,tblSales[Miqdor]))</f>
        <v/>
      </c>
      <c r="F16" s="16">
        <f>IF(A16="","",SUMIF(tblReturns[Mahsulot_kod],A16,tblReturns[Miqdor]))</f>
        <v/>
      </c>
      <c r="G16" s="16">
        <f>IF(A16="","",C16+D16-E16+F16)</f>
        <v/>
      </c>
      <c r="H16" s="14">
        <f>IF(A16="","",IFERROR((XLOOKUP(A16,tblProducts[Kod],tblProducts[Boshlangich_qiymat])+SUMIF(tblPurchases[Mahsulot_kod],A16,tblPurchases[Summa_UZS]))/(C16+SUMIF(tblPurchases[Mahsulot_kod],A16,tblPurchases[Miqdor])),XLOOKUP(A16,tblProducts[Kod],tblProducts[Boshlangich_tannarx])))</f>
        <v/>
      </c>
      <c r="I16" s="14">
        <f>IF(A16="","",G16*H16)</f>
        <v/>
      </c>
      <c r="J16" s="14">
        <f>IF(A16="","",IFERROR(XLOOKUP(A16,tblProducts[Kod],tblProducts[Sotuv_narxi]),0))</f>
        <v/>
      </c>
      <c r="K16" s="14">
        <f>IF(A16="","",G16*J16)</f>
        <v/>
      </c>
      <c r="L16" s="15">
        <f>IF(A16="","",IF(G16&lt;=IFERROR(XLOOKUP(A16,tblProducts[Kod],tblProducts[Minimal_qoldiq]),0),"PAST MIN","OK"))</f>
        <v/>
      </c>
    </row>
    <row r="17">
      <c r="A17" s="10" t="n"/>
      <c r="B17" s="15">
        <f>IF(A17="","",IFERROR(XLOOKUP(A17,tblProducts[Kod],tblProducts[Nomi]),"-"))</f>
        <v/>
      </c>
      <c r="C17" s="16">
        <f>IF(A17="","",IFERROR(XLOOKUP(A17,tblProducts[Kod],tblProducts[Boshlangich_qty]),0))</f>
        <v/>
      </c>
      <c r="D17" s="16">
        <f>IF(A17="","",SUMIF(tblPurchases[Mahsulot_kod],A17,tblPurchases[Miqdor]))</f>
        <v/>
      </c>
      <c r="E17" s="16">
        <f>IF(A17="","",SUMIF(tblSales[Mahsulot_kod],A17,tblSales[Miqdor]))</f>
        <v/>
      </c>
      <c r="F17" s="16">
        <f>IF(A17="","",SUMIF(tblReturns[Mahsulot_kod],A17,tblReturns[Miqdor]))</f>
        <v/>
      </c>
      <c r="G17" s="16">
        <f>IF(A17="","",C17+D17-E17+F17)</f>
        <v/>
      </c>
      <c r="H17" s="14">
        <f>IF(A17="","",IFERROR((XLOOKUP(A17,tblProducts[Kod],tblProducts[Boshlangich_qiymat])+SUMIF(tblPurchases[Mahsulot_kod],A17,tblPurchases[Summa_UZS]))/(C17+SUMIF(tblPurchases[Mahsulot_kod],A17,tblPurchases[Miqdor])),XLOOKUP(A17,tblProducts[Kod],tblProducts[Boshlangich_tannarx])))</f>
        <v/>
      </c>
      <c r="I17" s="14">
        <f>IF(A17="","",G17*H17)</f>
        <v/>
      </c>
      <c r="J17" s="14">
        <f>IF(A17="","",IFERROR(XLOOKUP(A17,tblProducts[Kod],tblProducts[Sotuv_narxi]),0))</f>
        <v/>
      </c>
      <c r="K17" s="14">
        <f>IF(A17="","",G17*J17)</f>
        <v/>
      </c>
      <c r="L17" s="15">
        <f>IF(A17="","",IF(G17&lt;=IFERROR(XLOOKUP(A17,tblProducts[Kod],tblProducts[Minimal_qoldiq]),0),"PAST MIN","OK"))</f>
        <v/>
      </c>
    </row>
    <row r="18">
      <c r="A18" s="10" t="n"/>
      <c r="B18" s="15">
        <f>IF(A18="","",IFERROR(XLOOKUP(A18,tblProducts[Kod],tblProducts[Nomi]),"-"))</f>
        <v/>
      </c>
      <c r="C18" s="16">
        <f>IF(A18="","",IFERROR(XLOOKUP(A18,tblProducts[Kod],tblProducts[Boshlangich_qty]),0))</f>
        <v/>
      </c>
      <c r="D18" s="16">
        <f>IF(A18="","",SUMIF(tblPurchases[Mahsulot_kod],A18,tblPurchases[Miqdor]))</f>
        <v/>
      </c>
      <c r="E18" s="16">
        <f>IF(A18="","",SUMIF(tblSales[Mahsulot_kod],A18,tblSales[Miqdor]))</f>
        <v/>
      </c>
      <c r="F18" s="16">
        <f>IF(A18="","",SUMIF(tblReturns[Mahsulot_kod],A18,tblReturns[Miqdor]))</f>
        <v/>
      </c>
      <c r="G18" s="16">
        <f>IF(A18="","",C18+D18-E18+F18)</f>
        <v/>
      </c>
      <c r="H18" s="14">
        <f>IF(A18="","",IFERROR((XLOOKUP(A18,tblProducts[Kod],tblProducts[Boshlangich_qiymat])+SUMIF(tblPurchases[Mahsulot_kod],A18,tblPurchases[Summa_UZS]))/(C18+SUMIF(tblPurchases[Mahsulot_kod],A18,tblPurchases[Miqdor])),XLOOKUP(A18,tblProducts[Kod],tblProducts[Boshlangich_tannarx])))</f>
        <v/>
      </c>
      <c r="I18" s="14">
        <f>IF(A18="","",G18*H18)</f>
        <v/>
      </c>
      <c r="J18" s="14">
        <f>IF(A18="","",IFERROR(XLOOKUP(A18,tblProducts[Kod],tblProducts[Sotuv_narxi]),0))</f>
        <v/>
      </c>
      <c r="K18" s="14">
        <f>IF(A18="","",G18*J18)</f>
        <v/>
      </c>
      <c r="L18" s="15">
        <f>IF(A18="","",IF(G18&lt;=IFERROR(XLOOKUP(A18,tblProducts[Kod],tblProducts[Minimal_qoldiq]),0),"PAST MIN","OK"))</f>
        <v/>
      </c>
    </row>
    <row r="19">
      <c r="A19" s="10" t="n"/>
      <c r="B19" s="15">
        <f>IF(A19="","",IFERROR(XLOOKUP(A19,tblProducts[Kod],tblProducts[Nomi]),"-"))</f>
        <v/>
      </c>
      <c r="C19" s="16">
        <f>IF(A19="","",IFERROR(XLOOKUP(A19,tblProducts[Kod],tblProducts[Boshlangich_qty]),0))</f>
        <v/>
      </c>
      <c r="D19" s="16">
        <f>IF(A19="","",SUMIF(tblPurchases[Mahsulot_kod],A19,tblPurchases[Miqdor]))</f>
        <v/>
      </c>
      <c r="E19" s="16">
        <f>IF(A19="","",SUMIF(tblSales[Mahsulot_kod],A19,tblSales[Miqdor]))</f>
        <v/>
      </c>
      <c r="F19" s="16">
        <f>IF(A19="","",SUMIF(tblReturns[Mahsulot_kod],A19,tblReturns[Miqdor]))</f>
        <v/>
      </c>
      <c r="G19" s="16">
        <f>IF(A19="","",C19+D19-E19+F19)</f>
        <v/>
      </c>
      <c r="H19" s="14">
        <f>IF(A19="","",IFERROR((XLOOKUP(A19,tblProducts[Kod],tblProducts[Boshlangich_qiymat])+SUMIF(tblPurchases[Mahsulot_kod],A19,tblPurchases[Summa_UZS]))/(C19+SUMIF(tblPurchases[Mahsulot_kod],A19,tblPurchases[Miqdor])),XLOOKUP(A19,tblProducts[Kod],tblProducts[Boshlangich_tannarx])))</f>
        <v/>
      </c>
      <c r="I19" s="14">
        <f>IF(A19="","",G19*H19)</f>
        <v/>
      </c>
      <c r="J19" s="14">
        <f>IF(A19="","",IFERROR(XLOOKUP(A19,tblProducts[Kod],tblProducts[Sotuv_narxi]),0))</f>
        <v/>
      </c>
      <c r="K19" s="14">
        <f>IF(A19="","",G19*J19)</f>
        <v/>
      </c>
      <c r="L19" s="15">
        <f>IF(A19="","",IF(G19&lt;=IFERROR(XLOOKUP(A19,tblProducts[Kod],tblProducts[Minimal_qoldiq]),0),"PAST MIN","OK"))</f>
        <v/>
      </c>
    </row>
    <row r="20">
      <c r="A20" s="10" t="n"/>
      <c r="B20" s="15">
        <f>IF(A20="","",IFERROR(XLOOKUP(A20,tblProducts[Kod],tblProducts[Nomi]),"-"))</f>
        <v/>
      </c>
      <c r="C20" s="16">
        <f>IF(A20="","",IFERROR(XLOOKUP(A20,tblProducts[Kod],tblProducts[Boshlangich_qty]),0))</f>
        <v/>
      </c>
      <c r="D20" s="16">
        <f>IF(A20="","",SUMIF(tblPurchases[Mahsulot_kod],A20,tblPurchases[Miqdor]))</f>
        <v/>
      </c>
      <c r="E20" s="16">
        <f>IF(A20="","",SUMIF(tblSales[Mahsulot_kod],A20,tblSales[Miqdor]))</f>
        <v/>
      </c>
      <c r="F20" s="16">
        <f>IF(A20="","",SUMIF(tblReturns[Mahsulot_kod],A20,tblReturns[Miqdor]))</f>
        <v/>
      </c>
      <c r="G20" s="16">
        <f>IF(A20="","",C20+D20-E20+F20)</f>
        <v/>
      </c>
      <c r="H20" s="14">
        <f>IF(A20="","",IFERROR((XLOOKUP(A20,tblProducts[Kod],tblProducts[Boshlangich_qiymat])+SUMIF(tblPurchases[Mahsulot_kod],A20,tblPurchases[Summa_UZS]))/(C20+SUMIF(tblPurchases[Mahsulot_kod],A20,tblPurchases[Miqdor])),XLOOKUP(A20,tblProducts[Kod],tblProducts[Boshlangich_tannarx])))</f>
        <v/>
      </c>
      <c r="I20" s="14">
        <f>IF(A20="","",G20*H20)</f>
        <v/>
      </c>
      <c r="J20" s="14">
        <f>IF(A20="","",IFERROR(XLOOKUP(A20,tblProducts[Kod],tblProducts[Sotuv_narxi]),0))</f>
        <v/>
      </c>
      <c r="K20" s="14">
        <f>IF(A20="","",G20*J20)</f>
        <v/>
      </c>
      <c r="L20" s="15">
        <f>IF(A20="","",IF(G20&lt;=IFERROR(XLOOKUP(A20,tblProducts[Kod],tblProducts[Minimal_qoldiq]),0),"PAST MIN","OK"))</f>
        <v/>
      </c>
    </row>
    <row r="21">
      <c r="A21" s="10" t="n"/>
      <c r="B21" s="15">
        <f>IF(A21="","",IFERROR(XLOOKUP(A21,tblProducts[Kod],tblProducts[Nomi]),"-"))</f>
        <v/>
      </c>
      <c r="C21" s="16">
        <f>IF(A21="","",IFERROR(XLOOKUP(A21,tblProducts[Kod],tblProducts[Boshlangich_qty]),0))</f>
        <v/>
      </c>
      <c r="D21" s="16">
        <f>IF(A21="","",SUMIF(tblPurchases[Mahsulot_kod],A21,tblPurchases[Miqdor]))</f>
        <v/>
      </c>
      <c r="E21" s="16">
        <f>IF(A21="","",SUMIF(tblSales[Mahsulot_kod],A21,tblSales[Miqdor]))</f>
        <v/>
      </c>
      <c r="F21" s="16">
        <f>IF(A21="","",SUMIF(tblReturns[Mahsulot_kod],A21,tblReturns[Miqdor]))</f>
        <v/>
      </c>
      <c r="G21" s="16">
        <f>IF(A21="","",C21+D21-E21+F21)</f>
        <v/>
      </c>
      <c r="H21" s="14">
        <f>IF(A21="","",IFERROR((XLOOKUP(A21,tblProducts[Kod],tblProducts[Boshlangich_qiymat])+SUMIF(tblPurchases[Mahsulot_kod],A21,tblPurchases[Summa_UZS]))/(C21+SUMIF(tblPurchases[Mahsulot_kod],A21,tblPurchases[Miqdor])),XLOOKUP(A21,tblProducts[Kod],tblProducts[Boshlangich_tannarx])))</f>
        <v/>
      </c>
      <c r="I21" s="14">
        <f>IF(A21="","",G21*H21)</f>
        <v/>
      </c>
      <c r="J21" s="14">
        <f>IF(A21="","",IFERROR(XLOOKUP(A21,tblProducts[Kod],tblProducts[Sotuv_narxi]),0))</f>
        <v/>
      </c>
      <c r="K21" s="14">
        <f>IF(A21="","",G21*J21)</f>
        <v/>
      </c>
      <c r="L21" s="15">
        <f>IF(A21="","",IF(G21&lt;=IFERROR(XLOOKUP(A21,tblProducts[Kod],tblProducts[Minimal_qoldiq]),0),"PAST MIN","OK"))</f>
        <v/>
      </c>
    </row>
    <row r="22">
      <c r="A22" s="10" t="n"/>
      <c r="B22" s="15">
        <f>IF(A22="","",IFERROR(XLOOKUP(A22,tblProducts[Kod],tblProducts[Nomi]),"-"))</f>
        <v/>
      </c>
      <c r="C22" s="16">
        <f>IF(A22="","",IFERROR(XLOOKUP(A22,tblProducts[Kod],tblProducts[Boshlangich_qty]),0))</f>
        <v/>
      </c>
      <c r="D22" s="16">
        <f>IF(A22="","",SUMIF(tblPurchases[Mahsulot_kod],A22,tblPurchases[Miqdor]))</f>
        <v/>
      </c>
      <c r="E22" s="16">
        <f>IF(A22="","",SUMIF(tblSales[Mahsulot_kod],A22,tblSales[Miqdor]))</f>
        <v/>
      </c>
      <c r="F22" s="16">
        <f>IF(A22="","",SUMIF(tblReturns[Mahsulot_kod],A22,tblReturns[Miqdor]))</f>
        <v/>
      </c>
      <c r="G22" s="16">
        <f>IF(A22="","",C22+D22-E22+F22)</f>
        <v/>
      </c>
      <c r="H22" s="14">
        <f>IF(A22="","",IFERROR((XLOOKUP(A22,tblProducts[Kod],tblProducts[Boshlangich_qiymat])+SUMIF(tblPurchases[Mahsulot_kod],A22,tblPurchases[Summa_UZS]))/(C22+SUMIF(tblPurchases[Mahsulot_kod],A22,tblPurchases[Miqdor])),XLOOKUP(A22,tblProducts[Kod],tblProducts[Boshlangich_tannarx])))</f>
        <v/>
      </c>
      <c r="I22" s="14">
        <f>IF(A22="","",G22*H22)</f>
        <v/>
      </c>
      <c r="J22" s="14">
        <f>IF(A22="","",IFERROR(XLOOKUP(A22,tblProducts[Kod],tblProducts[Sotuv_narxi]),0))</f>
        <v/>
      </c>
      <c r="K22" s="14">
        <f>IF(A22="","",G22*J22)</f>
        <v/>
      </c>
      <c r="L22" s="15">
        <f>IF(A22="","",IF(G22&lt;=IFERROR(XLOOKUP(A22,tblProducts[Kod],tblProducts[Minimal_qoldiq]),0),"PAST MIN","OK"))</f>
        <v/>
      </c>
    </row>
    <row r="23">
      <c r="A23" s="10" t="n"/>
      <c r="B23" s="15">
        <f>IF(A23="","",IFERROR(XLOOKUP(A23,tblProducts[Kod],tblProducts[Nomi]),"-"))</f>
        <v/>
      </c>
      <c r="C23" s="16">
        <f>IF(A23="","",IFERROR(XLOOKUP(A23,tblProducts[Kod],tblProducts[Boshlangich_qty]),0))</f>
        <v/>
      </c>
      <c r="D23" s="16">
        <f>IF(A23="","",SUMIF(tblPurchases[Mahsulot_kod],A23,tblPurchases[Miqdor]))</f>
        <v/>
      </c>
      <c r="E23" s="16">
        <f>IF(A23="","",SUMIF(tblSales[Mahsulot_kod],A23,tblSales[Miqdor]))</f>
        <v/>
      </c>
      <c r="F23" s="16">
        <f>IF(A23="","",SUMIF(tblReturns[Mahsulot_kod],A23,tblReturns[Miqdor]))</f>
        <v/>
      </c>
      <c r="G23" s="16">
        <f>IF(A23="","",C23+D23-E23+F23)</f>
        <v/>
      </c>
      <c r="H23" s="14">
        <f>IF(A23="","",IFERROR((XLOOKUP(A23,tblProducts[Kod],tblProducts[Boshlangich_qiymat])+SUMIF(tblPurchases[Mahsulot_kod],A23,tblPurchases[Summa_UZS]))/(C23+SUMIF(tblPurchases[Mahsulot_kod],A23,tblPurchases[Miqdor])),XLOOKUP(A23,tblProducts[Kod],tblProducts[Boshlangich_tannarx])))</f>
        <v/>
      </c>
      <c r="I23" s="14">
        <f>IF(A23="","",G23*H23)</f>
        <v/>
      </c>
      <c r="J23" s="14">
        <f>IF(A23="","",IFERROR(XLOOKUP(A23,tblProducts[Kod],tblProducts[Sotuv_narxi]),0))</f>
        <v/>
      </c>
      <c r="K23" s="14">
        <f>IF(A23="","",G23*J23)</f>
        <v/>
      </c>
      <c r="L23" s="15">
        <f>IF(A23="","",IF(G23&lt;=IFERROR(XLOOKUP(A23,tblProducts[Kod],tblProducts[Minimal_qoldiq]),0),"PAST MIN","OK"))</f>
        <v/>
      </c>
    </row>
    <row r="24">
      <c r="A24" s="10" t="n"/>
      <c r="B24" s="15">
        <f>IF(A24="","",IFERROR(XLOOKUP(A24,tblProducts[Kod],tblProducts[Nomi]),"-"))</f>
        <v/>
      </c>
      <c r="C24" s="16">
        <f>IF(A24="","",IFERROR(XLOOKUP(A24,tblProducts[Kod],tblProducts[Boshlangich_qty]),0))</f>
        <v/>
      </c>
      <c r="D24" s="16">
        <f>IF(A24="","",SUMIF(tblPurchases[Mahsulot_kod],A24,tblPurchases[Miqdor]))</f>
        <v/>
      </c>
      <c r="E24" s="16">
        <f>IF(A24="","",SUMIF(tblSales[Mahsulot_kod],A24,tblSales[Miqdor]))</f>
        <v/>
      </c>
      <c r="F24" s="16">
        <f>IF(A24="","",SUMIF(tblReturns[Mahsulot_kod],A24,tblReturns[Miqdor]))</f>
        <v/>
      </c>
      <c r="G24" s="16">
        <f>IF(A24="","",C24+D24-E24+F24)</f>
        <v/>
      </c>
      <c r="H24" s="14">
        <f>IF(A24="","",IFERROR((XLOOKUP(A24,tblProducts[Kod],tblProducts[Boshlangich_qiymat])+SUMIF(tblPurchases[Mahsulot_kod],A24,tblPurchases[Summa_UZS]))/(C24+SUMIF(tblPurchases[Mahsulot_kod],A24,tblPurchases[Miqdor])),XLOOKUP(A24,tblProducts[Kod],tblProducts[Boshlangich_tannarx])))</f>
        <v/>
      </c>
      <c r="I24" s="14">
        <f>IF(A24="","",G24*H24)</f>
        <v/>
      </c>
      <c r="J24" s="14">
        <f>IF(A24="","",IFERROR(XLOOKUP(A24,tblProducts[Kod],tblProducts[Sotuv_narxi]),0))</f>
        <v/>
      </c>
      <c r="K24" s="14">
        <f>IF(A24="","",G24*J24)</f>
        <v/>
      </c>
      <c r="L24" s="15">
        <f>IF(A24="","",IF(G24&lt;=IFERROR(XLOOKUP(A24,tblProducts[Kod],tblProducts[Minimal_qoldiq]),0),"PAST MIN","OK"))</f>
        <v/>
      </c>
    </row>
    <row r="25"/>
    <row r="26">
      <c r="A26" s="6" t="inlineStr">
        <is>
          <t>Jami ombor qiymati:</t>
        </is>
      </c>
      <c r="B26" s="17">
        <f>SUM(tblInventory[Yopilish_qiymat])</f>
        <v/>
      </c>
    </row>
    <row r="27">
      <c r="A27" s="20" t="inlineStr">
        <is>
          <t>Eslatma: Ombor faqat 03_Sotuvlar + 04_Xaridlar + 05_Qaytarishlar dan olinadi. 02_Harakatlar - tezkor kunlik oldi-berdi (mustaqil). Ikkalasini bir mahsulot uchun aralashtirmang.</t>
        </is>
      </c>
    </row>
  </sheetData>
  <conditionalFormatting sqref="L5:L24">
    <cfRule type="expression" priority="1" dxfId="0">
      <formula>L5="PAST MIN"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13" customWidth="1" min="6" max="6"/>
    <col width="21" customWidth="1" min="7" max="7"/>
    <col width="30" customWidth="1" min="8" max="8"/>
    <col width="30" customWidth="1" min="9" max="9"/>
    <col width="15" customWidth="1" min="10" max="10"/>
    <col width="10" customWidth="1" min="11" max="11"/>
    <col width="22" customWidth="1" min="12" max="12"/>
    <col width="10" customWidth="1" min="13" max="13"/>
    <col width="16" customWidth="1" min="14" max="14"/>
  </cols>
  <sheetData>
    <row r="1">
      <c r="A1" s="1" t="inlineStr">
        <is>
          <t>Sotuv hisoboti (davr) - SUMIFS / P&amp;L</t>
        </is>
      </c>
    </row>
    <row r="2">
      <c r="A2" s="2">
        <f>CONCATENATE("Davr: ",TEXT(PeriodStart,"yyyy-mm-dd")," - ",TEXT(PeriodEnd,"yyyy-mm-dd"))</f>
        <v/>
      </c>
    </row>
    <row r="3"/>
    <row r="4" ht="32" customHeight="1">
      <c r="A4" s="9" t="inlineStr">
        <is>
          <t>Sana</t>
        </is>
      </c>
      <c r="B4" s="9" t="inlineStr">
        <is>
          <t>Brutto</t>
        </is>
      </c>
      <c r="C4" s="9" t="inlineStr">
        <is>
          <t>Chegirma</t>
        </is>
      </c>
      <c r="D4" s="9" t="inlineStr">
        <is>
          <t>Net_tushum_UZS</t>
        </is>
      </c>
      <c r="E4" s="9" t="inlineStr">
        <is>
          <t>COGS</t>
        </is>
      </c>
      <c r="F4" s="9" t="inlineStr">
        <is>
          <t>Gross_foyda</t>
        </is>
      </c>
      <c r="G4" s="9" t="inlineStr">
        <is>
          <t>Margin_%</t>
        </is>
      </c>
      <c r="H4" s="9" t="inlineStr">
        <is>
          <t>Qaytarish_tushum</t>
        </is>
      </c>
      <c r="I4" s="9" t="inlineStr">
        <is>
          <t>Qaytarish_COGS</t>
        </is>
      </c>
      <c r="J4" s="9" t="inlineStr">
        <is>
          <t>Sof_foyda_kun</t>
        </is>
      </c>
      <c r="L4" s="21" t="inlineStr">
        <is>
          <t>DAVRIY P&amp;L (Parametrlar oralig'i)</t>
        </is>
      </c>
    </row>
    <row r="5">
      <c r="A5" s="11" t="n">
        <v>46235</v>
      </c>
      <c r="B5" s="14">
        <f>IF(OR(A5&lt;PeriodStart,A5&gt;PeriodEnd),0,SUMIF(tblSales[Sana],A5,tblSales[Brutto]))</f>
        <v/>
      </c>
      <c r="C5" s="14">
        <f>IF(OR(A5&lt;PeriodStart,A5&gt;PeriodEnd),0,SUMIF(tblSales[Sana],A5,tblSales[Chegirma]))</f>
        <v/>
      </c>
      <c r="D5" s="14">
        <f>IF(OR(A5&lt;PeriodStart,A5&gt;PeriodEnd),0,SUMIF(tblSales[Sana],A5,tblSales[UZS_eq]))</f>
        <v/>
      </c>
      <c r="E5" s="14">
        <f>IF(OR(A5&lt;PeriodStart,A5&gt;PeriodEnd),0,SUMIF(tblSales[Sana],A5,tblSales[COGS]))</f>
        <v/>
      </c>
      <c r="F5" s="14">
        <f>D5-E5</f>
        <v/>
      </c>
      <c r="G5" s="18">
        <f>IFERROR(F5/D5,0)</f>
        <v/>
      </c>
      <c r="H5" s="14">
        <f>IF(OR(A5&lt;PeriodStart,A5&gt;PeriodEnd),0,SUMIF(tblReturns[Sana],A5,tblReturns[Qaytarilgan_summa]))</f>
        <v/>
      </c>
      <c r="I5" s="14">
        <f>IF(OR(A5&lt;PeriodStart,A5&gt;PeriodEnd),0,SUMIF(tblReturns[Sana],A5,tblReturns[Returns_COGS]))</f>
        <v/>
      </c>
      <c r="J5" s="14">
        <f>F5-H5+I5</f>
        <v/>
      </c>
      <c r="L5" s="22" t="inlineStr">
        <is>
          <t>Brutto sotuv</t>
        </is>
      </c>
      <c r="N5" s="14">
        <f>SUMIFS(tblSales[Brutto],tblSales[Sana],"&gt;="&amp;PeriodStart,tblSales[Sana],"&lt;="&amp;PeriodEnd)</f>
        <v/>
      </c>
    </row>
    <row r="6">
      <c r="A6" s="11" t="n">
        <v>46236</v>
      </c>
      <c r="B6" s="14">
        <f>IF(OR(A6&lt;PeriodStart,A6&gt;PeriodEnd),0,SUMIF(tblSales[Sana],A6,tblSales[Brutto]))</f>
        <v/>
      </c>
      <c r="C6" s="14">
        <f>IF(OR(A6&lt;PeriodStart,A6&gt;PeriodEnd),0,SUMIF(tblSales[Sana],A6,tblSales[Chegirma]))</f>
        <v/>
      </c>
      <c r="D6" s="14">
        <f>IF(OR(A6&lt;PeriodStart,A6&gt;PeriodEnd),0,SUMIF(tblSales[Sana],A6,tblSales[UZS_eq]))</f>
        <v/>
      </c>
      <c r="E6" s="14">
        <f>IF(OR(A6&lt;PeriodStart,A6&gt;PeriodEnd),0,SUMIF(tblSales[Sana],A6,tblSales[COGS]))</f>
        <v/>
      </c>
      <c r="F6" s="14">
        <f>D6-E6</f>
        <v/>
      </c>
      <c r="G6" s="18">
        <f>IFERROR(F6/D6,0)</f>
        <v/>
      </c>
      <c r="H6" s="14">
        <f>IF(OR(A6&lt;PeriodStart,A6&gt;PeriodEnd),0,SUMIF(tblReturns[Sana],A6,tblReturns[Qaytarilgan_summa]))</f>
        <v/>
      </c>
      <c r="I6" s="14">
        <f>IF(OR(A6&lt;PeriodStart,A6&gt;PeriodEnd),0,SUMIF(tblReturns[Sana],A6,tblReturns[Returns_COGS]))</f>
        <v/>
      </c>
      <c r="J6" s="14">
        <f>F6-H6+I6</f>
        <v/>
      </c>
      <c r="L6" s="22" t="inlineStr">
        <is>
          <t>Chegirmalar</t>
        </is>
      </c>
      <c r="N6" s="14">
        <f>SUMIFS(tblSales[Chegirma],tblSales[Sana],"&gt;="&amp;PeriodStart,tblSales[Sana],"&lt;="&amp;PeriodEnd)</f>
        <v/>
      </c>
    </row>
    <row r="7">
      <c r="A7" s="11" t="n">
        <v>46237</v>
      </c>
      <c r="B7" s="14">
        <f>IF(OR(A7&lt;PeriodStart,A7&gt;PeriodEnd),0,SUMIF(tblSales[Sana],A7,tblSales[Brutto]))</f>
        <v/>
      </c>
      <c r="C7" s="14">
        <f>IF(OR(A7&lt;PeriodStart,A7&gt;PeriodEnd),0,SUMIF(tblSales[Sana],A7,tblSales[Chegirma]))</f>
        <v/>
      </c>
      <c r="D7" s="14">
        <f>IF(OR(A7&lt;PeriodStart,A7&gt;PeriodEnd),0,SUMIF(tblSales[Sana],A7,tblSales[UZS_eq]))</f>
        <v/>
      </c>
      <c r="E7" s="14">
        <f>IF(OR(A7&lt;PeriodStart,A7&gt;PeriodEnd),0,SUMIF(tblSales[Sana],A7,tblSales[COGS]))</f>
        <v/>
      </c>
      <c r="F7" s="14">
        <f>D7-E7</f>
        <v/>
      </c>
      <c r="G7" s="18">
        <f>IFERROR(F7/D7,0)</f>
        <v/>
      </c>
      <c r="H7" s="14">
        <f>IF(OR(A7&lt;PeriodStart,A7&gt;PeriodEnd),0,SUMIF(tblReturns[Sana],A7,tblReturns[Qaytarilgan_summa]))</f>
        <v/>
      </c>
      <c r="I7" s="14">
        <f>IF(OR(A7&lt;PeriodStart,A7&gt;PeriodEnd),0,SUMIF(tblReturns[Sana],A7,tblReturns[Returns_COGS]))</f>
        <v/>
      </c>
      <c r="J7" s="14">
        <f>F7-H7+I7</f>
        <v/>
      </c>
      <c r="L7" s="22" t="inlineStr">
        <is>
          <t>Net sotuv (UZS)</t>
        </is>
      </c>
      <c r="N7" s="14">
        <f>SUMIFS(tblSales[UZS_eq],tblSales[Sana],"&gt;="&amp;PeriodStart,tblSales[Sana],"&lt;="&amp;PeriodEnd)</f>
        <v/>
      </c>
    </row>
    <row r="8">
      <c r="A8" s="11" t="n">
        <v>46238</v>
      </c>
      <c r="B8" s="14">
        <f>IF(OR(A8&lt;PeriodStart,A8&gt;PeriodEnd),0,SUMIF(tblSales[Sana],A8,tblSales[Brutto]))</f>
        <v/>
      </c>
      <c r="C8" s="14">
        <f>IF(OR(A8&lt;PeriodStart,A8&gt;PeriodEnd),0,SUMIF(tblSales[Sana],A8,tblSales[Chegirma]))</f>
        <v/>
      </c>
      <c r="D8" s="14">
        <f>IF(OR(A8&lt;PeriodStart,A8&gt;PeriodEnd),0,SUMIF(tblSales[Sana],A8,tblSales[UZS_eq]))</f>
        <v/>
      </c>
      <c r="E8" s="14">
        <f>IF(OR(A8&lt;PeriodStart,A8&gt;PeriodEnd),0,SUMIF(tblSales[Sana],A8,tblSales[COGS]))</f>
        <v/>
      </c>
      <c r="F8" s="14">
        <f>D8-E8</f>
        <v/>
      </c>
      <c r="G8" s="18">
        <f>IFERROR(F8/D8,0)</f>
        <v/>
      </c>
      <c r="H8" s="14">
        <f>IF(OR(A8&lt;PeriodStart,A8&gt;PeriodEnd),0,SUMIF(tblReturns[Sana],A8,tblReturns[Qaytarilgan_summa]))</f>
        <v/>
      </c>
      <c r="I8" s="14">
        <f>IF(OR(A8&lt;PeriodStart,A8&gt;PeriodEnd),0,SUMIF(tblReturns[Sana],A8,tblReturns[Returns_COGS]))</f>
        <v/>
      </c>
      <c r="J8" s="14">
        <f>F8-H8+I8</f>
        <v/>
      </c>
      <c r="L8" s="22" t="inlineStr">
        <is>
          <t>COGS</t>
        </is>
      </c>
      <c r="N8" s="14">
        <f>SUMIFS(tblSales[COGS],tblSales[Sana],"&gt;="&amp;PeriodStart,tblSales[Sana],"&lt;="&amp;PeriodEnd)</f>
        <v/>
      </c>
    </row>
    <row r="9">
      <c r="A9" s="11" t="n">
        <v>46239</v>
      </c>
      <c r="B9" s="14">
        <f>IF(OR(A9&lt;PeriodStart,A9&gt;PeriodEnd),0,SUMIF(tblSales[Sana],A9,tblSales[Brutto]))</f>
        <v/>
      </c>
      <c r="C9" s="14">
        <f>IF(OR(A9&lt;PeriodStart,A9&gt;PeriodEnd),0,SUMIF(tblSales[Sana],A9,tblSales[Chegirma]))</f>
        <v/>
      </c>
      <c r="D9" s="14">
        <f>IF(OR(A9&lt;PeriodStart,A9&gt;PeriodEnd),0,SUMIF(tblSales[Sana],A9,tblSales[UZS_eq]))</f>
        <v/>
      </c>
      <c r="E9" s="14">
        <f>IF(OR(A9&lt;PeriodStart,A9&gt;PeriodEnd),0,SUMIF(tblSales[Sana],A9,tblSales[COGS]))</f>
        <v/>
      </c>
      <c r="F9" s="14">
        <f>D9-E9</f>
        <v/>
      </c>
      <c r="G9" s="18">
        <f>IFERROR(F9/D9,0)</f>
        <v/>
      </c>
      <c r="H9" s="14">
        <f>IF(OR(A9&lt;PeriodStart,A9&gt;PeriodEnd),0,SUMIF(tblReturns[Sana],A9,tblReturns[Qaytarilgan_summa]))</f>
        <v/>
      </c>
      <c r="I9" s="14">
        <f>IF(OR(A9&lt;PeriodStart,A9&gt;PeriodEnd),0,SUMIF(tblReturns[Sana],A9,tblReturns[Returns_COGS]))</f>
        <v/>
      </c>
      <c r="J9" s="14">
        <f>F9-H9+I9</f>
        <v/>
      </c>
      <c r="L9" s="22" t="inlineStr">
        <is>
          <t>Yalpi foyda (Gross)</t>
        </is>
      </c>
      <c r="N9" s="14">
        <f>N7-N8</f>
        <v/>
      </c>
    </row>
    <row r="10">
      <c r="A10" s="11" t="n">
        <v>46240</v>
      </c>
      <c r="B10" s="14">
        <f>IF(OR(A10&lt;PeriodStart,A10&gt;PeriodEnd),0,SUMIF(tblSales[Sana],A10,tblSales[Brutto]))</f>
        <v/>
      </c>
      <c r="C10" s="14">
        <f>IF(OR(A10&lt;PeriodStart,A10&gt;PeriodEnd),0,SUMIF(tblSales[Sana],A10,tblSales[Chegirma]))</f>
        <v/>
      </c>
      <c r="D10" s="14">
        <f>IF(OR(A10&lt;PeriodStart,A10&gt;PeriodEnd),0,SUMIF(tblSales[Sana],A10,tblSales[UZS_eq]))</f>
        <v/>
      </c>
      <c r="E10" s="14">
        <f>IF(OR(A10&lt;PeriodStart,A10&gt;PeriodEnd),0,SUMIF(tblSales[Sana],A10,tblSales[COGS]))</f>
        <v/>
      </c>
      <c r="F10" s="14">
        <f>D10-E10</f>
        <v/>
      </c>
      <c r="G10" s="18">
        <f>IFERROR(F10/D10,0)</f>
        <v/>
      </c>
      <c r="H10" s="14">
        <f>IF(OR(A10&lt;PeriodStart,A10&gt;PeriodEnd),0,SUMIF(tblReturns[Sana],A10,tblReturns[Qaytarilgan_summa]))</f>
        <v/>
      </c>
      <c r="I10" s="14">
        <f>IF(OR(A10&lt;PeriodStart,A10&gt;PeriodEnd),0,SUMIF(tblReturns[Sana],A10,tblReturns[Returns_COGS]))</f>
        <v/>
      </c>
      <c r="J10" s="14">
        <f>F10-H10+I10</f>
        <v/>
      </c>
      <c r="L10" s="22" t="inlineStr">
        <is>
          <t>Gross margin %</t>
        </is>
      </c>
      <c r="N10" s="18">
        <f>IFERROR(N9/N7,0)</f>
        <v/>
      </c>
    </row>
    <row r="11">
      <c r="A11" s="11" t="n">
        <v>46241</v>
      </c>
      <c r="B11" s="14">
        <f>IF(OR(A11&lt;PeriodStart,A11&gt;PeriodEnd),0,SUMIF(tblSales[Sana],A11,tblSales[Brutto]))</f>
        <v/>
      </c>
      <c r="C11" s="14">
        <f>IF(OR(A11&lt;PeriodStart,A11&gt;PeriodEnd),0,SUMIF(tblSales[Sana],A11,tblSales[Chegirma]))</f>
        <v/>
      </c>
      <c r="D11" s="14">
        <f>IF(OR(A11&lt;PeriodStart,A11&gt;PeriodEnd),0,SUMIF(tblSales[Sana],A11,tblSales[UZS_eq]))</f>
        <v/>
      </c>
      <c r="E11" s="14">
        <f>IF(OR(A11&lt;PeriodStart,A11&gt;PeriodEnd),0,SUMIF(tblSales[Sana],A11,tblSales[COGS]))</f>
        <v/>
      </c>
      <c r="F11" s="14">
        <f>D11-E11</f>
        <v/>
      </c>
      <c r="G11" s="18">
        <f>IFERROR(F11/D11,0)</f>
        <v/>
      </c>
      <c r="H11" s="14">
        <f>IF(OR(A11&lt;PeriodStart,A11&gt;PeriodEnd),0,SUMIF(tblReturns[Sana],A11,tblReturns[Qaytarilgan_summa]))</f>
        <v/>
      </c>
      <c r="I11" s="14">
        <f>IF(OR(A11&lt;PeriodStart,A11&gt;PeriodEnd),0,SUMIF(tblReturns[Sana],A11,tblReturns[Returns_COGS]))</f>
        <v/>
      </c>
      <c r="J11" s="14">
        <f>F11-H11+I11</f>
        <v/>
      </c>
      <c r="L11" s="22" t="inlineStr">
        <is>
          <t>Qaytarish tushumi</t>
        </is>
      </c>
      <c r="N11" s="14">
        <f>SUMIFS(tblReturns[Qaytarilgan_summa],tblReturns[Sana],"&gt;="&amp;PeriodStart,tblReturns[Sana],"&lt;="&amp;PeriodEnd)</f>
        <v/>
      </c>
    </row>
    <row r="12">
      <c r="A12" s="11" t="n">
        <v>46242</v>
      </c>
      <c r="B12" s="14">
        <f>IF(OR(A12&lt;PeriodStart,A12&gt;PeriodEnd),0,SUMIF(tblSales[Sana],A12,tblSales[Brutto]))</f>
        <v/>
      </c>
      <c r="C12" s="14">
        <f>IF(OR(A12&lt;PeriodStart,A12&gt;PeriodEnd),0,SUMIF(tblSales[Sana],A12,tblSales[Chegirma]))</f>
        <v/>
      </c>
      <c r="D12" s="14">
        <f>IF(OR(A12&lt;PeriodStart,A12&gt;PeriodEnd),0,SUMIF(tblSales[Sana],A12,tblSales[UZS_eq]))</f>
        <v/>
      </c>
      <c r="E12" s="14">
        <f>IF(OR(A12&lt;PeriodStart,A12&gt;PeriodEnd),0,SUMIF(tblSales[Sana],A12,tblSales[COGS]))</f>
        <v/>
      </c>
      <c r="F12" s="14">
        <f>D12-E12</f>
        <v/>
      </c>
      <c r="G12" s="18">
        <f>IFERROR(F12/D12,0)</f>
        <v/>
      </c>
      <c r="H12" s="14">
        <f>IF(OR(A12&lt;PeriodStart,A12&gt;PeriodEnd),0,SUMIF(tblReturns[Sana],A12,tblReturns[Qaytarilgan_summa]))</f>
        <v/>
      </c>
      <c r="I12" s="14">
        <f>IF(OR(A12&lt;PeriodStart,A12&gt;PeriodEnd),0,SUMIF(tblReturns[Sana],A12,tblReturns[Returns_COGS]))</f>
        <v/>
      </c>
      <c r="J12" s="14">
        <f>F12-H12+I12</f>
        <v/>
      </c>
      <c r="L12" s="22" t="inlineStr">
        <is>
          <t>Qaytarish COGS</t>
        </is>
      </c>
      <c r="N12" s="14">
        <f>SUMIFS(tblReturns[Returns_COGS],tblReturns[Sana],"&gt;="&amp;PeriodStart,tblReturns[Sana],"&lt;="&amp;PeriodEnd)</f>
        <v/>
      </c>
    </row>
    <row r="13">
      <c r="A13" s="11" t="n">
        <v>46243</v>
      </c>
      <c r="B13" s="14">
        <f>IF(OR(A13&lt;PeriodStart,A13&gt;PeriodEnd),0,SUMIF(tblSales[Sana],A13,tblSales[Brutto]))</f>
        <v/>
      </c>
      <c r="C13" s="14">
        <f>IF(OR(A13&lt;PeriodStart,A13&gt;PeriodEnd),0,SUMIF(tblSales[Sana],A13,tblSales[Chegirma]))</f>
        <v/>
      </c>
      <c r="D13" s="14">
        <f>IF(OR(A13&lt;PeriodStart,A13&gt;PeriodEnd),0,SUMIF(tblSales[Sana],A13,tblSales[UZS_eq]))</f>
        <v/>
      </c>
      <c r="E13" s="14">
        <f>IF(OR(A13&lt;PeriodStart,A13&gt;PeriodEnd),0,SUMIF(tblSales[Sana],A13,tblSales[COGS]))</f>
        <v/>
      </c>
      <c r="F13" s="14">
        <f>D13-E13</f>
        <v/>
      </c>
      <c r="G13" s="18">
        <f>IFERROR(F13/D13,0)</f>
        <v/>
      </c>
      <c r="H13" s="14">
        <f>IF(OR(A13&lt;PeriodStart,A13&gt;PeriodEnd),0,SUMIF(tblReturns[Sana],A13,tblReturns[Qaytarilgan_summa]))</f>
        <v/>
      </c>
      <c r="I13" s="14">
        <f>IF(OR(A13&lt;PeriodStart,A13&gt;PeriodEnd),0,SUMIF(tblReturns[Sana],A13,tblReturns[Returns_COGS]))</f>
        <v/>
      </c>
      <c r="J13" s="14">
        <f>F13-H13+I13</f>
        <v/>
      </c>
      <c r="L13" s="22" t="inlineStr">
        <is>
          <t>Xarajatlar</t>
        </is>
      </c>
      <c r="N13" s="14">
        <f>SUMIFS(tblExpenses[Summa_UZS],tblExpenses[Sana],"&gt;="&amp;PeriodStart,tblExpenses[Sana],"&lt;="&amp;PeriodEnd)</f>
        <v/>
      </c>
    </row>
    <row r="14">
      <c r="A14" s="11" t="n">
        <v>46244</v>
      </c>
      <c r="B14" s="14">
        <f>IF(OR(A14&lt;PeriodStart,A14&gt;PeriodEnd),0,SUMIF(tblSales[Sana],A14,tblSales[Brutto]))</f>
        <v/>
      </c>
      <c r="C14" s="14">
        <f>IF(OR(A14&lt;PeriodStart,A14&gt;PeriodEnd),0,SUMIF(tblSales[Sana],A14,tblSales[Chegirma]))</f>
        <v/>
      </c>
      <c r="D14" s="14">
        <f>IF(OR(A14&lt;PeriodStart,A14&gt;PeriodEnd),0,SUMIF(tblSales[Sana],A14,tblSales[UZS_eq]))</f>
        <v/>
      </c>
      <c r="E14" s="14">
        <f>IF(OR(A14&lt;PeriodStart,A14&gt;PeriodEnd),0,SUMIF(tblSales[Sana],A14,tblSales[COGS]))</f>
        <v/>
      </c>
      <c r="F14" s="14">
        <f>D14-E14</f>
        <v/>
      </c>
      <c r="G14" s="18">
        <f>IFERROR(F14/D14,0)</f>
        <v/>
      </c>
      <c r="H14" s="14">
        <f>IF(OR(A14&lt;PeriodStart,A14&gt;PeriodEnd),0,SUMIF(tblReturns[Sana],A14,tblReturns[Qaytarilgan_summa]))</f>
        <v/>
      </c>
      <c r="I14" s="14">
        <f>IF(OR(A14&lt;PeriodStart,A14&gt;PeriodEnd),0,SUMIF(tblReturns[Sana],A14,tblReturns[Returns_COGS]))</f>
        <v/>
      </c>
      <c r="J14" s="14">
        <f>F14-H14+I14</f>
        <v/>
      </c>
      <c r="L14" s="22" t="inlineStr">
        <is>
          <t>Komissiya (to'lov)</t>
        </is>
      </c>
      <c r="N14" s="14">
        <f>SUMIFS(tblPayments[Komissiya],tblPayments[Sana],"&gt;="&amp;PeriodStart,tblPayments[Sana],"&lt;="&amp;PeriodEnd)</f>
        <v/>
      </c>
    </row>
    <row r="15">
      <c r="A15" s="11" t="n">
        <v>46245</v>
      </c>
      <c r="B15" s="14">
        <f>IF(OR(A15&lt;PeriodStart,A15&gt;PeriodEnd),0,SUMIF(tblSales[Sana],A15,tblSales[Brutto]))</f>
        <v/>
      </c>
      <c r="C15" s="14">
        <f>IF(OR(A15&lt;PeriodStart,A15&gt;PeriodEnd),0,SUMIF(tblSales[Sana],A15,tblSales[Chegirma]))</f>
        <v/>
      </c>
      <c r="D15" s="14">
        <f>IF(OR(A15&lt;PeriodStart,A15&gt;PeriodEnd),0,SUMIF(tblSales[Sana],A15,tblSales[UZS_eq]))</f>
        <v/>
      </c>
      <c r="E15" s="14">
        <f>IF(OR(A15&lt;PeriodStart,A15&gt;PeriodEnd),0,SUMIF(tblSales[Sana],A15,tblSales[COGS]))</f>
        <v/>
      </c>
      <c r="F15" s="14">
        <f>D15-E15</f>
        <v/>
      </c>
      <c r="G15" s="18">
        <f>IFERROR(F15/D15,0)</f>
        <v/>
      </c>
      <c r="H15" s="14">
        <f>IF(OR(A15&lt;PeriodStart,A15&gt;PeriodEnd),0,SUMIF(tblReturns[Sana],A15,tblReturns[Qaytarilgan_summa]))</f>
        <v/>
      </c>
      <c r="I15" s="14">
        <f>IF(OR(A15&lt;PeriodStart,A15&gt;PeriodEnd),0,SUMIF(tblReturns[Sana],A15,tblReturns[Returns_COGS]))</f>
        <v/>
      </c>
      <c r="J15" s="14">
        <f>F15-H15+I15</f>
        <v/>
      </c>
      <c r="L15" s="23" t="inlineStr">
        <is>
          <t>SOF FOYDA (Net)</t>
        </is>
      </c>
      <c r="N15" s="24">
        <f>N9-N11+N12-N13-N14</f>
        <v/>
      </c>
    </row>
    <row r="16">
      <c r="A16" s="11" t="n">
        <v>46246</v>
      </c>
      <c r="B16" s="14">
        <f>IF(OR(A16&lt;PeriodStart,A16&gt;PeriodEnd),0,SUMIF(tblSales[Sana],A16,tblSales[Brutto]))</f>
        <v/>
      </c>
      <c r="C16" s="14">
        <f>IF(OR(A16&lt;PeriodStart,A16&gt;PeriodEnd),0,SUMIF(tblSales[Sana],A16,tblSales[Chegirma]))</f>
        <v/>
      </c>
      <c r="D16" s="14">
        <f>IF(OR(A16&lt;PeriodStart,A16&gt;PeriodEnd),0,SUMIF(tblSales[Sana],A16,tblSales[UZS_eq]))</f>
        <v/>
      </c>
      <c r="E16" s="14">
        <f>IF(OR(A16&lt;PeriodStart,A16&gt;PeriodEnd),0,SUMIF(tblSales[Sana],A16,tblSales[COGS]))</f>
        <v/>
      </c>
      <c r="F16" s="14">
        <f>D16-E16</f>
        <v/>
      </c>
      <c r="G16" s="18">
        <f>IFERROR(F16/D16,0)</f>
        <v/>
      </c>
      <c r="H16" s="14">
        <f>IF(OR(A16&lt;PeriodStart,A16&gt;PeriodEnd),0,SUMIF(tblReturns[Sana],A16,tblReturns[Qaytarilgan_summa]))</f>
        <v/>
      </c>
      <c r="I16" s="14">
        <f>IF(OR(A16&lt;PeriodStart,A16&gt;PeriodEnd),0,SUMIF(tblReturns[Sana],A16,tblReturns[Returns_COGS]))</f>
        <v/>
      </c>
      <c r="J16" s="14">
        <f>F16-H16+I16</f>
        <v/>
      </c>
      <c r="L16" s="22" t="inlineStr">
        <is>
          <t>Net margin %</t>
        </is>
      </c>
      <c r="N16" s="18">
        <f>IFERROR(N15/N7,0)</f>
        <v/>
      </c>
    </row>
    <row r="17">
      <c r="A17" s="11" t="n">
        <v>46247</v>
      </c>
      <c r="B17" s="14">
        <f>IF(OR(A17&lt;PeriodStart,A17&gt;PeriodEnd),0,SUMIF(tblSales[Sana],A17,tblSales[Brutto]))</f>
        <v/>
      </c>
      <c r="C17" s="14">
        <f>IF(OR(A17&lt;PeriodStart,A17&gt;PeriodEnd),0,SUMIF(tblSales[Sana],A17,tblSales[Chegirma]))</f>
        <v/>
      </c>
      <c r="D17" s="14">
        <f>IF(OR(A17&lt;PeriodStart,A17&gt;PeriodEnd),0,SUMIF(tblSales[Sana],A17,tblSales[UZS_eq]))</f>
        <v/>
      </c>
      <c r="E17" s="14">
        <f>IF(OR(A17&lt;PeriodStart,A17&gt;PeriodEnd),0,SUMIF(tblSales[Sana],A17,tblSales[COGS]))</f>
        <v/>
      </c>
      <c r="F17" s="14">
        <f>D17-E17</f>
        <v/>
      </c>
      <c r="G17" s="18">
        <f>IFERROR(F17/D17,0)</f>
        <v/>
      </c>
      <c r="H17" s="14">
        <f>IF(OR(A17&lt;PeriodStart,A17&gt;PeriodEnd),0,SUMIF(tblReturns[Sana],A17,tblReturns[Qaytarilgan_summa]))</f>
        <v/>
      </c>
      <c r="I17" s="14">
        <f>IF(OR(A17&lt;PeriodStart,A17&gt;PeriodEnd),0,SUMIF(tblReturns[Sana],A17,tblReturns[Returns_COGS]))</f>
        <v/>
      </c>
      <c r="J17" s="14">
        <f>F17-H17+I17</f>
        <v/>
      </c>
    </row>
    <row r="18">
      <c r="A18" s="11" t="n">
        <v>46248</v>
      </c>
      <c r="B18" s="14">
        <f>IF(OR(A18&lt;PeriodStart,A18&gt;PeriodEnd),0,SUMIF(tblSales[Sana],A18,tblSales[Brutto]))</f>
        <v/>
      </c>
      <c r="C18" s="14">
        <f>IF(OR(A18&lt;PeriodStart,A18&gt;PeriodEnd),0,SUMIF(tblSales[Sana],A18,tblSales[Chegirma]))</f>
        <v/>
      </c>
      <c r="D18" s="14">
        <f>IF(OR(A18&lt;PeriodStart,A18&gt;PeriodEnd),0,SUMIF(tblSales[Sana],A18,tblSales[UZS_eq]))</f>
        <v/>
      </c>
      <c r="E18" s="14">
        <f>IF(OR(A18&lt;PeriodStart,A18&gt;PeriodEnd),0,SUMIF(tblSales[Sana],A18,tblSales[COGS]))</f>
        <v/>
      </c>
      <c r="F18" s="14">
        <f>D18-E18</f>
        <v/>
      </c>
      <c r="G18" s="18">
        <f>IFERROR(F18/D18,0)</f>
        <v/>
      </c>
      <c r="H18" s="14">
        <f>IF(OR(A18&lt;PeriodStart,A18&gt;PeriodEnd),0,SUMIF(tblReturns[Sana],A18,tblReturns[Qaytarilgan_summa]))</f>
        <v/>
      </c>
      <c r="I18" s="14">
        <f>IF(OR(A18&lt;PeriodStart,A18&gt;PeriodEnd),0,SUMIF(tblReturns[Sana],A18,tblReturns[Returns_COGS]))</f>
        <v/>
      </c>
      <c r="J18" s="14">
        <f>F18-H18+I18</f>
        <v/>
      </c>
      <c r="L18" s="2" t="inlineStr">
        <is>
          <t>Formula (POS): Net = Gross - Returns_Rev + Returns_COGS - Expenses - Commission</t>
        </is>
      </c>
    </row>
    <row r="19">
      <c r="A19" s="11" t="n">
        <v>46249</v>
      </c>
      <c r="B19" s="14">
        <f>IF(OR(A19&lt;PeriodStart,A19&gt;PeriodEnd),0,SUMIF(tblSales[Sana],A19,tblSales[Brutto]))</f>
        <v/>
      </c>
      <c r="C19" s="14">
        <f>IF(OR(A19&lt;PeriodStart,A19&gt;PeriodEnd),0,SUMIF(tblSales[Sana],A19,tblSales[Chegirma]))</f>
        <v/>
      </c>
      <c r="D19" s="14">
        <f>IF(OR(A19&lt;PeriodStart,A19&gt;PeriodEnd),0,SUMIF(tblSales[Sana],A19,tblSales[UZS_eq]))</f>
        <v/>
      </c>
      <c r="E19" s="14">
        <f>IF(OR(A19&lt;PeriodStart,A19&gt;PeriodEnd),0,SUMIF(tblSales[Sana],A19,tblSales[COGS]))</f>
        <v/>
      </c>
      <c r="F19" s="14">
        <f>D19-E19</f>
        <v/>
      </c>
      <c r="G19" s="18">
        <f>IFERROR(F19/D19,0)</f>
        <v/>
      </c>
      <c r="H19" s="14">
        <f>IF(OR(A19&lt;PeriodStart,A19&gt;PeriodEnd),0,SUMIF(tblReturns[Sana],A19,tblReturns[Qaytarilgan_summa]))</f>
        <v/>
      </c>
      <c r="I19" s="14">
        <f>IF(OR(A19&lt;PeriodStart,A19&gt;PeriodEnd),0,SUMIF(tblReturns[Sana],A19,tblReturns[Returns_COGS]))</f>
        <v/>
      </c>
      <c r="J19" s="14">
        <f>F19-H19+I19</f>
        <v/>
      </c>
    </row>
    <row r="20">
      <c r="A20" s="11" t="n">
        <v>46250</v>
      </c>
      <c r="B20" s="14">
        <f>IF(OR(A20&lt;PeriodStart,A20&gt;PeriodEnd),0,SUMIF(tblSales[Sana],A20,tblSales[Brutto]))</f>
        <v/>
      </c>
      <c r="C20" s="14">
        <f>IF(OR(A20&lt;PeriodStart,A20&gt;PeriodEnd),0,SUMIF(tblSales[Sana],A20,tblSales[Chegirma]))</f>
        <v/>
      </c>
      <c r="D20" s="14">
        <f>IF(OR(A20&lt;PeriodStart,A20&gt;PeriodEnd),0,SUMIF(tblSales[Sana],A20,tblSales[UZS_eq]))</f>
        <v/>
      </c>
      <c r="E20" s="14">
        <f>IF(OR(A20&lt;PeriodStart,A20&gt;PeriodEnd),0,SUMIF(tblSales[Sana],A20,tblSales[COGS]))</f>
        <v/>
      </c>
      <c r="F20" s="14">
        <f>D20-E20</f>
        <v/>
      </c>
      <c r="G20" s="18">
        <f>IFERROR(F20/D20,0)</f>
        <v/>
      </c>
      <c r="H20" s="14">
        <f>IF(OR(A20&lt;PeriodStart,A20&gt;PeriodEnd),0,SUMIF(tblReturns[Sana],A20,tblReturns[Qaytarilgan_summa]))</f>
        <v/>
      </c>
      <c r="I20" s="14">
        <f>IF(OR(A20&lt;PeriodStart,A20&gt;PeriodEnd),0,SUMIF(tblReturns[Sana],A20,tblReturns[Returns_COGS]))</f>
        <v/>
      </c>
      <c r="J20" s="14">
        <f>F20-H20+I20</f>
        <v/>
      </c>
    </row>
    <row r="21">
      <c r="A21" s="11" t="n">
        <v>46251</v>
      </c>
      <c r="B21" s="14">
        <f>IF(OR(A21&lt;PeriodStart,A21&gt;PeriodEnd),0,SUMIF(tblSales[Sana],A21,tblSales[Brutto]))</f>
        <v/>
      </c>
      <c r="C21" s="14">
        <f>IF(OR(A21&lt;PeriodStart,A21&gt;PeriodEnd),0,SUMIF(tblSales[Sana],A21,tblSales[Chegirma]))</f>
        <v/>
      </c>
      <c r="D21" s="14">
        <f>IF(OR(A21&lt;PeriodStart,A21&gt;PeriodEnd),0,SUMIF(tblSales[Sana],A21,tblSales[UZS_eq]))</f>
        <v/>
      </c>
      <c r="E21" s="14">
        <f>IF(OR(A21&lt;PeriodStart,A21&gt;PeriodEnd),0,SUMIF(tblSales[Sana],A21,tblSales[COGS]))</f>
        <v/>
      </c>
      <c r="F21" s="14">
        <f>D21-E21</f>
        <v/>
      </c>
      <c r="G21" s="18">
        <f>IFERROR(F21/D21,0)</f>
        <v/>
      </c>
      <c r="H21" s="14">
        <f>IF(OR(A21&lt;PeriodStart,A21&gt;PeriodEnd),0,SUMIF(tblReturns[Sana],A21,tblReturns[Qaytarilgan_summa]))</f>
        <v/>
      </c>
      <c r="I21" s="14">
        <f>IF(OR(A21&lt;PeriodStart,A21&gt;PeriodEnd),0,SUMIF(tblReturns[Sana],A21,tblReturns[Returns_COGS]))</f>
        <v/>
      </c>
      <c r="J21" s="14">
        <f>F21-H21+I21</f>
        <v/>
      </c>
    </row>
    <row r="22">
      <c r="A22" s="11" t="n">
        <v>46252</v>
      </c>
      <c r="B22" s="14">
        <f>IF(OR(A22&lt;PeriodStart,A22&gt;PeriodEnd),0,SUMIF(tblSales[Sana],A22,tblSales[Brutto]))</f>
        <v/>
      </c>
      <c r="C22" s="14">
        <f>IF(OR(A22&lt;PeriodStart,A22&gt;PeriodEnd),0,SUMIF(tblSales[Sana],A22,tblSales[Chegirma]))</f>
        <v/>
      </c>
      <c r="D22" s="14">
        <f>IF(OR(A22&lt;PeriodStart,A22&gt;PeriodEnd),0,SUMIF(tblSales[Sana],A22,tblSales[UZS_eq]))</f>
        <v/>
      </c>
      <c r="E22" s="14">
        <f>IF(OR(A22&lt;PeriodStart,A22&gt;PeriodEnd),0,SUMIF(tblSales[Sana],A22,tblSales[COGS]))</f>
        <v/>
      </c>
      <c r="F22" s="14">
        <f>D22-E22</f>
        <v/>
      </c>
      <c r="G22" s="18">
        <f>IFERROR(F22/D22,0)</f>
        <v/>
      </c>
      <c r="H22" s="14">
        <f>IF(OR(A22&lt;PeriodStart,A22&gt;PeriodEnd),0,SUMIF(tblReturns[Sana],A22,tblReturns[Qaytarilgan_summa]))</f>
        <v/>
      </c>
      <c r="I22" s="14">
        <f>IF(OR(A22&lt;PeriodStart,A22&gt;PeriodEnd),0,SUMIF(tblReturns[Sana],A22,tblReturns[Returns_COGS]))</f>
        <v/>
      </c>
      <c r="J22" s="14">
        <f>F22-H22+I22</f>
        <v/>
      </c>
    </row>
    <row r="23">
      <c r="A23" s="11" t="n">
        <v>46253</v>
      </c>
      <c r="B23" s="14">
        <f>IF(OR(A23&lt;PeriodStart,A23&gt;PeriodEnd),0,SUMIF(tblSales[Sana],A23,tblSales[Brutto]))</f>
        <v/>
      </c>
      <c r="C23" s="14">
        <f>IF(OR(A23&lt;PeriodStart,A23&gt;PeriodEnd),0,SUMIF(tblSales[Sana],A23,tblSales[Chegirma]))</f>
        <v/>
      </c>
      <c r="D23" s="14">
        <f>IF(OR(A23&lt;PeriodStart,A23&gt;PeriodEnd),0,SUMIF(tblSales[Sana],A23,tblSales[UZS_eq]))</f>
        <v/>
      </c>
      <c r="E23" s="14">
        <f>IF(OR(A23&lt;PeriodStart,A23&gt;PeriodEnd),0,SUMIF(tblSales[Sana],A23,tblSales[COGS]))</f>
        <v/>
      </c>
      <c r="F23" s="14">
        <f>D23-E23</f>
        <v/>
      </c>
      <c r="G23" s="18">
        <f>IFERROR(F23/D23,0)</f>
        <v/>
      </c>
      <c r="H23" s="14">
        <f>IF(OR(A23&lt;PeriodStart,A23&gt;PeriodEnd),0,SUMIF(tblReturns[Sana],A23,tblReturns[Qaytarilgan_summa]))</f>
        <v/>
      </c>
      <c r="I23" s="14">
        <f>IF(OR(A23&lt;PeriodStart,A23&gt;PeriodEnd),0,SUMIF(tblReturns[Sana],A23,tblReturns[Returns_COGS]))</f>
        <v/>
      </c>
      <c r="J23" s="14">
        <f>F23-H23+I23</f>
        <v/>
      </c>
    </row>
    <row r="24">
      <c r="A24" s="11" t="n">
        <v>46254</v>
      </c>
      <c r="B24" s="14">
        <f>IF(OR(A24&lt;PeriodStart,A24&gt;PeriodEnd),0,SUMIF(tblSales[Sana],A24,tblSales[Brutto]))</f>
        <v/>
      </c>
      <c r="C24" s="14">
        <f>IF(OR(A24&lt;PeriodStart,A24&gt;PeriodEnd),0,SUMIF(tblSales[Sana],A24,tblSales[Chegirma]))</f>
        <v/>
      </c>
      <c r="D24" s="14">
        <f>IF(OR(A24&lt;PeriodStart,A24&gt;PeriodEnd),0,SUMIF(tblSales[Sana],A24,tblSales[UZS_eq]))</f>
        <v/>
      </c>
      <c r="E24" s="14">
        <f>IF(OR(A24&lt;PeriodStart,A24&gt;PeriodEnd),0,SUMIF(tblSales[Sana],A24,tblSales[COGS]))</f>
        <v/>
      </c>
      <c r="F24" s="14">
        <f>D24-E24</f>
        <v/>
      </c>
      <c r="G24" s="18">
        <f>IFERROR(F24/D24,0)</f>
        <v/>
      </c>
      <c r="H24" s="14">
        <f>IF(OR(A24&lt;PeriodStart,A24&gt;PeriodEnd),0,SUMIF(tblReturns[Sana],A24,tblReturns[Qaytarilgan_summa]))</f>
        <v/>
      </c>
      <c r="I24" s="14">
        <f>IF(OR(A24&lt;PeriodStart,A24&gt;PeriodEnd),0,SUMIF(tblReturns[Sana],A24,tblReturns[Returns_COGS]))</f>
        <v/>
      </c>
      <c r="J24" s="14">
        <f>F24-H24+I24</f>
        <v/>
      </c>
    </row>
    <row r="25">
      <c r="A25" s="11" t="n">
        <v>46255</v>
      </c>
      <c r="B25" s="14">
        <f>IF(OR(A25&lt;PeriodStart,A25&gt;PeriodEnd),0,SUMIF(tblSales[Sana],A25,tblSales[Brutto]))</f>
        <v/>
      </c>
      <c r="C25" s="14">
        <f>IF(OR(A25&lt;PeriodStart,A25&gt;PeriodEnd),0,SUMIF(tblSales[Sana],A25,tblSales[Chegirma]))</f>
        <v/>
      </c>
      <c r="D25" s="14">
        <f>IF(OR(A25&lt;PeriodStart,A25&gt;PeriodEnd),0,SUMIF(tblSales[Sana],A25,tblSales[UZS_eq]))</f>
        <v/>
      </c>
      <c r="E25" s="14">
        <f>IF(OR(A25&lt;PeriodStart,A25&gt;PeriodEnd),0,SUMIF(tblSales[Sana],A25,tblSales[COGS]))</f>
        <v/>
      </c>
      <c r="F25" s="14">
        <f>D25-E25</f>
        <v/>
      </c>
      <c r="G25" s="18">
        <f>IFERROR(F25/D25,0)</f>
        <v/>
      </c>
      <c r="H25" s="14">
        <f>IF(OR(A25&lt;PeriodStart,A25&gt;PeriodEnd),0,SUMIF(tblReturns[Sana],A25,tblReturns[Qaytarilgan_summa]))</f>
        <v/>
      </c>
      <c r="I25" s="14">
        <f>IF(OR(A25&lt;PeriodStart,A25&gt;PeriodEnd),0,SUMIF(tblReturns[Sana],A25,tblReturns[Returns_COGS]))</f>
        <v/>
      </c>
      <c r="J25" s="14">
        <f>F25-H25+I25</f>
        <v/>
      </c>
    </row>
    <row r="26">
      <c r="A26" s="11" t="n">
        <v>46256</v>
      </c>
      <c r="B26" s="14">
        <f>IF(OR(A26&lt;PeriodStart,A26&gt;PeriodEnd),0,SUMIF(tblSales[Sana],A26,tblSales[Brutto]))</f>
        <v/>
      </c>
      <c r="C26" s="14">
        <f>IF(OR(A26&lt;PeriodStart,A26&gt;PeriodEnd),0,SUMIF(tblSales[Sana],A26,tblSales[Chegirma]))</f>
        <v/>
      </c>
      <c r="D26" s="14">
        <f>IF(OR(A26&lt;PeriodStart,A26&gt;PeriodEnd),0,SUMIF(tblSales[Sana],A26,tblSales[UZS_eq]))</f>
        <v/>
      </c>
      <c r="E26" s="14">
        <f>IF(OR(A26&lt;PeriodStart,A26&gt;PeriodEnd),0,SUMIF(tblSales[Sana],A26,tblSales[COGS]))</f>
        <v/>
      </c>
      <c r="F26" s="14">
        <f>D26-E26</f>
        <v/>
      </c>
      <c r="G26" s="18">
        <f>IFERROR(F26/D26,0)</f>
        <v/>
      </c>
      <c r="H26" s="14">
        <f>IF(OR(A26&lt;PeriodStart,A26&gt;PeriodEnd),0,SUMIF(tblReturns[Sana],A26,tblReturns[Qaytarilgan_summa]))</f>
        <v/>
      </c>
      <c r="I26" s="14">
        <f>IF(OR(A26&lt;PeriodStart,A26&gt;PeriodEnd),0,SUMIF(tblReturns[Sana],A26,tblReturns[Returns_COGS]))</f>
        <v/>
      </c>
      <c r="J26" s="14">
        <f>F26-H26+I26</f>
        <v/>
      </c>
    </row>
    <row r="27">
      <c r="A27" s="11" t="n">
        <v>46257</v>
      </c>
      <c r="B27" s="14">
        <f>IF(OR(A27&lt;PeriodStart,A27&gt;PeriodEnd),0,SUMIF(tblSales[Sana],A27,tblSales[Brutto]))</f>
        <v/>
      </c>
      <c r="C27" s="14">
        <f>IF(OR(A27&lt;PeriodStart,A27&gt;PeriodEnd),0,SUMIF(tblSales[Sana],A27,tblSales[Chegirma]))</f>
        <v/>
      </c>
      <c r="D27" s="14">
        <f>IF(OR(A27&lt;PeriodStart,A27&gt;PeriodEnd),0,SUMIF(tblSales[Sana],A27,tblSales[UZS_eq]))</f>
        <v/>
      </c>
      <c r="E27" s="14">
        <f>IF(OR(A27&lt;PeriodStart,A27&gt;PeriodEnd),0,SUMIF(tblSales[Sana],A27,tblSales[COGS]))</f>
        <v/>
      </c>
      <c r="F27" s="14">
        <f>D27-E27</f>
        <v/>
      </c>
      <c r="G27" s="18">
        <f>IFERROR(F27/D27,0)</f>
        <v/>
      </c>
      <c r="H27" s="14">
        <f>IF(OR(A27&lt;PeriodStart,A27&gt;PeriodEnd),0,SUMIF(tblReturns[Sana],A27,tblReturns[Qaytarilgan_summa]))</f>
        <v/>
      </c>
      <c r="I27" s="14">
        <f>IF(OR(A27&lt;PeriodStart,A27&gt;PeriodEnd),0,SUMIF(tblReturns[Sana],A27,tblReturns[Returns_COGS]))</f>
        <v/>
      </c>
      <c r="J27" s="14">
        <f>F27-H27+I27</f>
        <v/>
      </c>
    </row>
  </sheetData>
  <mergeCells count="2">
    <mergeCell ref="L4:N4"/>
    <mergeCell ref="L18:N1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0" customWidth="1" min="5" max="5"/>
    <col width="30" customWidth="1" min="6" max="6"/>
    <col width="10" customWidth="1" min="7" max="7"/>
    <col width="20" customWidth="1" min="8" max="8"/>
    <col width="30" customWidth="1" min="9" max="9"/>
    <col width="30" customWidth="1" min="10" max="10"/>
    <col width="30" customWidth="1" min="11" max="11"/>
    <col width="14" customWidth="1" min="12" max="12"/>
  </cols>
  <sheetData>
    <row r="1">
      <c r="A1" s="1" t="inlineStr">
        <is>
          <t>Kunlik / oylik kassa - to'lov usullari bo'yicha</t>
        </is>
      </c>
    </row>
    <row r="2">
      <c r="A2">
        <f>CONCATENATE("Davr: ",TEXT(PeriodStart,"yyyy-mm-dd")," - ",TEXT(PeriodEnd,"yyyy-mm-dd"))</f>
        <v/>
      </c>
    </row>
    <row r="3"/>
    <row r="4">
      <c r="A4" s="6" t="inlineStr">
        <is>
          <t>Usul bo'yicha jami</t>
        </is>
      </c>
      <c r="H4" s="6" t="inlineStr">
        <is>
          <t>Kunlik naqd (cash)</t>
        </is>
      </c>
    </row>
    <row r="5" ht="32" customHeight="1">
      <c r="A5" s="9" t="inlineStr">
        <is>
          <t>Usul</t>
        </is>
      </c>
      <c r="B5" s="9" t="inlineStr">
        <is>
          <t>Guruh</t>
        </is>
      </c>
      <c r="C5" s="9" t="inlineStr">
        <is>
          <t>Summa</t>
        </is>
      </c>
      <c r="D5" s="9" t="inlineStr">
        <is>
          <t>Komissiya</t>
        </is>
      </c>
      <c r="E5" s="9" t="inlineStr">
        <is>
          <t>Sof</t>
        </is>
      </c>
      <c r="F5" s="9" t="inlineStr">
        <is>
          <t>Ulush_%</t>
        </is>
      </c>
      <c r="H5" s="25" t="inlineStr">
        <is>
          <t>Sana</t>
        </is>
      </c>
      <c r="I5" s="25" t="inlineStr">
        <is>
          <t>Naqd</t>
        </is>
      </c>
      <c r="J5" s="25" t="inlineStr">
        <is>
          <t>Bank</t>
        </is>
      </c>
      <c r="K5" s="25" t="inlineStr">
        <is>
          <t>Kredit</t>
        </is>
      </c>
      <c r="L5" s="25" t="inlineStr">
        <is>
          <t>Jami</t>
        </is>
      </c>
    </row>
    <row r="6">
      <c r="A6" s="10" t="inlineStr">
        <is>
          <t>cash</t>
        </is>
      </c>
      <c r="B6" s="15">
        <f>IF(A6="cash","cash",IF(A6="credit","credit","bank"))</f>
        <v/>
      </c>
      <c r="C6" s="14">
        <f>SUMIFS(tblPayments[Summa_UZS],tblPayments[Usul],A6,tblPayments[Sana],"&gt;="&amp;PeriodStart,tblPayments[Sana],"&lt;="&amp;PeriodEnd)</f>
        <v/>
      </c>
      <c r="D6" s="14">
        <f>SUMIFS(tblPayments[Komissiya],tblPayments[Usul],A6,tblPayments[Sana],"&gt;="&amp;PeriodStart,tblPayments[Sana],"&lt;="&amp;PeriodEnd)</f>
        <v/>
      </c>
      <c r="E6" s="14">
        <f>C6-D6</f>
        <v/>
      </c>
      <c r="F6" s="18">
        <f>IFERROR(C6/SUM($C$6:$C$13),0)</f>
        <v/>
      </c>
      <c r="H6" s="11" t="n">
        <v>46235</v>
      </c>
      <c r="I6" s="14">
        <f>SUMIFS(tblPayments[Summa_UZS],tblPayments[Sana],H6,tblPayments[Guruh],"cash")</f>
        <v/>
      </c>
      <c r="J6" s="14">
        <f>SUMIFS(tblPayments[Summa_UZS],tblPayments[Sana],H6,tblPayments[Guruh],"bank")</f>
        <v/>
      </c>
      <c r="K6" s="14">
        <f>SUMIFS(tblPayments[Summa_UZS],tblPayments[Sana],H6,tblPayments[Guruh],"credit")</f>
        <v/>
      </c>
      <c r="L6" s="14">
        <f>I6+J6+K6</f>
        <v/>
      </c>
    </row>
    <row r="7">
      <c r="A7" s="10" t="inlineStr">
        <is>
          <t>card</t>
        </is>
      </c>
      <c r="B7" s="15">
        <f>IF(A7="cash","cash",IF(A7="credit","credit","bank"))</f>
        <v/>
      </c>
      <c r="C7" s="14">
        <f>SUMIFS(tblPayments[Summa_UZS],tblPayments[Usul],A7,tblPayments[Sana],"&gt;="&amp;PeriodStart,tblPayments[Sana],"&lt;="&amp;PeriodEnd)</f>
        <v/>
      </c>
      <c r="D7" s="14">
        <f>SUMIFS(tblPayments[Komissiya],tblPayments[Usul],A7,tblPayments[Sana],"&gt;="&amp;PeriodStart,tblPayments[Sana],"&lt;="&amp;PeriodEnd)</f>
        <v/>
      </c>
      <c r="E7" s="14">
        <f>C7-D7</f>
        <v/>
      </c>
      <c r="F7" s="18">
        <f>IFERROR(C7/SUM($C$6:$C$13),0)</f>
        <v/>
      </c>
      <c r="H7" s="11" t="n">
        <v>46236</v>
      </c>
      <c r="I7" s="14">
        <f>SUMIFS(tblPayments[Summa_UZS],tblPayments[Sana],H7,tblPayments[Guruh],"cash")</f>
        <v/>
      </c>
      <c r="J7" s="14">
        <f>SUMIFS(tblPayments[Summa_UZS],tblPayments[Sana],H7,tblPayments[Guruh],"bank")</f>
        <v/>
      </c>
      <c r="K7" s="14">
        <f>SUMIFS(tblPayments[Summa_UZS],tblPayments[Sana],H7,tblPayments[Guruh],"credit")</f>
        <v/>
      </c>
      <c r="L7" s="14">
        <f>I7+J7+K7</f>
        <v/>
      </c>
    </row>
    <row r="8">
      <c r="A8" s="10" t="inlineStr">
        <is>
          <t>transfer</t>
        </is>
      </c>
      <c r="B8" s="15">
        <f>IF(A8="cash","cash",IF(A8="credit","credit","bank"))</f>
        <v/>
      </c>
      <c r="C8" s="14">
        <f>SUMIFS(tblPayments[Summa_UZS],tblPayments[Usul],A8,tblPayments[Sana],"&gt;="&amp;PeriodStart,tblPayments[Sana],"&lt;="&amp;PeriodEnd)</f>
        <v/>
      </c>
      <c r="D8" s="14">
        <f>SUMIFS(tblPayments[Komissiya],tblPayments[Usul],A8,tblPayments[Sana],"&gt;="&amp;PeriodStart,tblPayments[Sana],"&lt;="&amp;PeriodEnd)</f>
        <v/>
      </c>
      <c r="E8" s="14">
        <f>C8-D8</f>
        <v/>
      </c>
      <c r="F8" s="18">
        <f>IFERROR(C8/SUM($C$6:$C$13),0)</f>
        <v/>
      </c>
      <c r="H8" s="11" t="n">
        <v>46237</v>
      </c>
      <c r="I8" s="14">
        <f>SUMIFS(tblPayments[Summa_UZS],tblPayments[Sana],H8,tblPayments[Guruh],"cash")</f>
        <v/>
      </c>
      <c r="J8" s="14">
        <f>SUMIFS(tblPayments[Summa_UZS],tblPayments[Sana],H8,tblPayments[Guruh],"bank")</f>
        <v/>
      </c>
      <c r="K8" s="14">
        <f>SUMIFS(tblPayments[Summa_UZS],tblPayments[Sana],H8,tblPayments[Guruh],"credit")</f>
        <v/>
      </c>
      <c r="L8" s="14">
        <f>I8+J8+K8</f>
        <v/>
      </c>
    </row>
    <row r="9">
      <c r="A9" s="10" t="inlineStr">
        <is>
          <t>uzcard</t>
        </is>
      </c>
      <c r="B9" s="15">
        <f>IF(A9="cash","cash",IF(A9="credit","credit","bank"))</f>
        <v/>
      </c>
      <c r="C9" s="14">
        <f>SUMIFS(tblPayments[Summa_UZS],tblPayments[Usul],A9,tblPayments[Sana],"&gt;="&amp;PeriodStart,tblPayments[Sana],"&lt;="&amp;PeriodEnd)</f>
        <v/>
      </c>
      <c r="D9" s="14">
        <f>SUMIFS(tblPayments[Komissiya],tblPayments[Usul],A9,tblPayments[Sana],"&gt;="&amp;PeriodStart,tblPayments[Sana],"&lt;="&amp;PeriodEnd)</f>
        <v/>
      </c>
      <c r="E9" s="14">
        <f>C9-D9</f>
        <v/>
      </c>
      <c r="F9" s="18">
        <f>IFERROR(C9/SUM($C$6:$C$13),0)</f>
        <v/>
      </c>
      <c r="H9" s="11" t="n">
        <v>46238</v>
      </c>
      <c r="I9" s="14">
        <f>SUMIFS(tblPayments[Summa_UZS],tblPayments[Sana],H9,tblPayments[Guruh],"cash")</f>
        <v/>
      </c>
      <c r="J9" s="14">
        <f>SUMIFS(tblPayments[Summa_UZS],tblPayments[Sana],H9,tblPayments[Guruh],"bank")</f>
        <v/>
      </c>
      <c r="K9" s="14">
        <f>SUMIFS(tblPayments[Summa_UZS],tblPayments[Sana],H9,tblPayments[Guruh],"credit")</f>
        <v/>
      </c>
      <c r="L9" s="14">
        <f>I9+J9+K9</f>
        <v/>
      </c>
    </row>
    <row r="10">
      <c r="A10" s="10" t="inlineStr">
        <is>
          <t>humo</t>
        </is>
      </c>
      <c r="B10" s="15">
        <f>IF(A10="cash","cash",IF(A10="credit","credit","bank"))</f>
        <v/>
      </c>
      <c r="C10" s="14">
        <f>SUMIFS(tblPayments[Summa_UZS],tblPayments[Usul],A10,tblPayments[Sana],"&gt;="&amp;PeriodStart,tblPayments[Sana],"&lt;="&amp;PeriodEnd)</f>
        <v/>
      </c>
      <c r="D10" s="14">
        <f>SUMIFS(tblPayments[Komissiya],tblPayments[Usul],A10,tblPayments[Sana],"&gt;="&amp;PeriodStart,tblPayments[Sana],"&lt;="&amp;PeriodEnd)</f>
        <v/>
      </c>
      <c r="E10" s="14">
        <f>C10-D10</f>
        <v/>
      </c>
      <c r="F10" s="18">
        <f>IFERROR(C10/SUM($C$6:$C$13),0)</f>
        <v/>
      </c>
      <c r="H10" s="11" t="n">
        <v>46239</v>
      </c>
      <c r="I10" s="14">
        <f>SUMIFS(tblPayments[Summa_UZS],tblPayments[Sana],H10,tblPayments[Guruh],"cash")</f>
        <v/>
      </c>
      <c r="J10" s="14">
        <f>SUMIFS(tblPayments[Summa_UZS],tblPayments[Sana],H10,tblPayments[Guruh],"bank")</f>
        <v/>
      </c>
      <c r="K10" s="14">
        <f>SUMIFS(tblPayments[Summa_UZS],tblPayments[Sana],H10,tblPayments[Guruh],"credit")</f>
        <v/>
      </c>
      <c r="L10" s="14">
        <f>I10+J10+K10</f>
        <v/>
      </c>
    </row>
    <row r="11">
      <c r="A11" s="10" t="inlineStr">
        <is>
          <t>click</t>
        </is>
      </c>
      <c r="B11" s="15">
        <f>IF(A11="cash","cash",IF(A11="credit","credit","bank"))</f>
        <v/>
      </c>
      <c r="C11" s="14">
        <f>SUMIFS(tblPayments[Summa_UZS],tblPayments[Usul],A11,tblPayments[Sana],"&gt;="&amp;PeriodStart,tblPayments[Sana],"&lt;="&amp;PeriodEnd)</f>
        <v/>
      </c>
      <c r="D11" s="14">
        <f>SUMIFS(tblPayments[Komissiya],tblPayments[Usul],A11,tblPayments[Sana],"&gt;="&amp;PeriodStart,tblPayments[Sana],"&lt;="&amp;PeriodEnd)</f>
        <v/>
      </c>
      <c r="E11" s="14">
        <f>C11-D11</f>
        <v/>
      </c>
      <c r="F11" s="18">
        <f>IFERROR(C11/SUM($C$6:$C$13),0)</f>
        <v/>
      </c>
      <c r="H11" s="11" t="n">
        <v>46240</v>
      </c>
      <c r="I11" s="14">
        <f>SUMIFS(tblPayments[Summa_UZS],tblPayments[Sana],H11,tblPayments[Guruh],"cash")</f>
        <v/>
      </c>
      <c r="J11" s="14">
        <f>SUMIFS(tblPayments[Summa_UZS],tblPayments[Sana],H11,tblPayments[Guruh],"bank")</f>
        <v/>
      </c>
      <c r="K11" s="14">
        <f>SUMIFS(tblPayments[Summa_UZS],tblPayments[Sana],H11,tblPayments[Guruh],"credit")</f>
        <v/>
      </c>
      <c r="L11" s="14">
        <f>I11+J11+K11</f>
        <v/>
      </c>
    </row>
    <row r="12">
      <c r="A12" s="10" t="inlineStr">
        <is>
          <t>payme</t>
        </is>
      </c>
      <c r="B12" s="15">
        <f>IF(A12="cash","cash",IF(A12="credit","credit","bank"))</f>
        <v/>
      </c>
      <c r="C12" s="14">
        <f>SUMIFS(tblPayments[Summa_UZS],tblPayments[Usul],A12,tblPayments[Sana],"&gt;="&amp;PeriodStart,tblPayments[Sana],"&lt;="&amp;PeriodEnd)</f>
        <v/>
      </c>
      <c r="D12" s="14">
        <f>SUMIFS(tblPayments[Komissiya],tblPayments[Usul],A12,tblPayments[Sana],"&gt;="&amp;PeriodStart,tblPayments[Sana],"&lt;="&amp;PeriodEnd)</f>
        <v/>
      </c>
      <c r="E12" s="14">
        <f>C12-D12</f>
        <v/>
      </c>
      <c r="F12" s="18">
        <f>IFERROR(C12/SUM($C$6:$C$13),0)</f>
        <v/>
      </c>
      <c r="H12" s="11" t="n">
        <v>46241</v>
      </c>
      <c r="I12" s="14">
        <f>SUMIFS(tblPayments[Summa_UZS],tblPayments[Sana],H12,tblPayments[Guruh],"cash")</f>
        <v/>
      </c>
      <c r="J12" s="14">
        <f>SUMIFS(tblPayments[Summa_UZS],tblPayments[Sana],H12,tblPayments[Guruh],"bank")</f>
        <v/>
      </c>
      <c r="K12" s="14">
        <f>SUMIFS(tblPayments[Summa_UZS],tblPayments[Sana],H12,tblPayments[Guruh],"credit")</f>
        <v/>
      </c>
      <c r="L12" s="14">
        <f>I12+J12+K12</f>
        <v/>
      </c>
    </row>
    <row r="13">
      <c r="A13" s="10" t="inlineStr">
        <is>
          <t>credit</t>
        </is>
      </c>
      <c r="B13" s="15">
        <f>IF(A13="cash","cash",IF(A13="credit","credit","bank"))</f>
        <v/>
      </c>
      <c r="C13" s="14">
        <f>SUMIFS(tblPayments[Summa_UZS],tblPayments[Usul],A13,tblPayments[Sana],"&gt;="&amp;PeriodStart,tblPayments[Sana],"&lt;="&amp;PeriodEnd)</f>
        <v/>
      </c>
      <c r="D13" s="14">
        <f>SUMIFS(tblPayments[Komissiya],tblPayments[Usul],A13,tblPayments[Sana],"&gt;="&amp;PeriodStart,tblPayments[Sana],"&lt;="&amp;PeriodEnd)</f>
        <v/>
      </c>
      <c r="E13" s="14">
        <f>C13-D13</f>
        <v/>
      </c>
      <c r="F13" s="18">
        <f>IFERROR(C13/SUM($C$6:$C$13),0)</f>
        <v/>
      </c>
      <c r="H13" s="11" t="n">
        <v>46242</v>
      </c>
      <c r="I13" s="14">
        <f>SUMIFS(tblPayments[Summa_UZS],tblPayments[Sana],H13,tblPayments[Guruh],"cash")</f>
        <v/>
      </c>
      <c r="J13" s="14">
        <f>SUMIFS(tblPayments[Summa_UZS],tblPayments[Sana],H13,tblPayments[Guruh],"bank")</f>
        <v/>
      </c>
      <c r="K13" s="14">
        <f>SUMIFS(tblPayments[Summa_UZS],tblPayments[Sana],H13,tblPayments[Guruh],"credit")</f>
        <v/>
      </c>
      <c r="L13" s="14">
        <f>I13+J13+K13</f>
        <v/>
      </c>
    </row>
    <row r="14">
      <c r="H14" s="11" t="n">
        <v>46243</v>
      </c>
      <c r="I14" s="14">
        <f>SUMIFS(tblPayments[Summa_UZS],tblPayments[Sana],H14,tblPayments[Guruh],"cash")</f>
        <v/>
      </c>
      <c r="J14" s="14">
        <f>SUMIFS(tblPayments[Summa_UZS],tblPayments[Sana],H14,tblPayments[Guruh],"bank")</f>
        <v/>
      </c>
      <c r="K14" s="14">
        <f>SUMIFS(tblPayments[Summa_UZS],tblPayments[Sana],H14,tblPayments[Guruh],"credit")</f>
        <v/>
      </c>
      <c r="L14" s="14">
        <f>I14+J14+K14</f>
        <v/>
      </c>
    </row>
    <row r="15">
      <c r="A15" s="6" t="inlineStr">
        <is>
          <t>Guruhlar</t>
        </is>
      </c>
      <c r="H15" s="11" t="n">
        <v>46244</v>
      </c>
      <c r="I15" s="14">
        <f>SUMIFS(tblPayments[Summa_UZS],tblPayments[Sana],H15,tblPayments[Guruh],"cash")</f>
        <v/>
      </c>
      <c r="J15" s="14">
        <f>SUMIFS(tblPayments[Summa_UZS],tblPayments[Sana],H15,tblPayments[Guruh],"bank")</f>
        <v/>
      </c>
      <c r="K15" s="14">
        <f>SUMIFS(tblPayments[Summa_UZS],tblPayments[Sana],H15,tblPayments[Guruh],"credit")</f>
        <v/>
      </c>
      <c r="L15" s="14">
        <f>I15+J15+K15</f>
        <v/>
      </c>
    </row>
    <row r="16">
      <c r="A16" s="26" t="inlineStr">
        <is>
          <t>Naqd (cash)</t>
        </is>
      </c>
      <c r="B16" s="14">
        <f>SUMIF(tblKassaMethods[Guruh],"cash",tblKassaMethods[Summa])</f>
        <v/>
      </c>
      <c r="H16" s="11" t="n">
        <v>46245</v>
      </c>
      <c r="I16" s="14">
        <f>SUMIFS(tblPayments[Summa_UZS],tblPayments[Sana],H16,tblPayments[Guruh],"cash")</f>
        <v/>
      </c>
      <c r="J16" s="14">
        <f>SUMIFS(tblPayments[Summa_UZS],tblPayments[Sana],H16,tblPayments[Guruh],"bank")</f>
        <v/>
      </c>
      <c r="K16" s="14">
        <f>SUMIFS(tblPayments[Summa_UZS],tblPayments[Sana],H16,tblPayments[Guruh],"credit")</f>
        <v/>
      </c>
      <c r="L16" s="14">
        <f>I16+J16+K16</f>
        <v/>
      </c>
    </row>
    <row r="17">
      <c r="A17" s="26" t="inlineStr">
        <is>
          <t>Bank/karta</t>
        </is>
      </c>
      <c r="B17" s="14">
        <f>SUMIF(tblKassaMethods[Guruh],"bank",tblKassaMethods[Summa])</f>
        <v/>
      </c>
      <c r="H17" s="11" t="n">
        <v>46246</v>
      </c>
      <c r="I17" s="14">
        <f>SUMIFS(tblPayments[Summa_UZS],tblPayments[Sana],H17,tblPayments[Guruh],"cash")</f>
        <v/>
      </c>
      <c r="J17" s="14">
        <f>SUMIFS(tblPayments[Summa_UZS],tblPayments[Sana],H17,tblPayments[Guruh],"bank")</f>
        <v/>
      </c>
      <c r="K17" s="14">
        <f>SUMIFS(tblPayments[Summa_UZS],tblPayments[Sana],H17,tblPayments[Guruh],"credit")</f>
        <v/>
      </c>
      <c r="L17" s="14">
        <f>I17+J17+K17</f>
        <v/>
      </c>
    </row>
    <row r="18">
      <c r="A18" s="26" t="inlineStr">
        <is>
          <t>Kredit/nasiya</t>
        </is>
      </c>
      <c r="B18" s="14">
        <f>SUMIF(tblKassaMethods[Guruh],"credit",tblKassaMethods[Summa])</f>
        <v/>
      </c>
      <c r="H18" s="11" t="n">
        <v>46247</v>
      </c>
      <c r="I18" s="14">
        <f>SUMIFS(tblPayments[Summa_UZS],tblPayments[Sana],H18,tblPayments[Guruh],"cash")</f>
        <v/>
      </c>
      <c r="J18" s="14">
        <f>SUMIFS(tblPayments[Summa_UZS],tblPayments[Sana],H18,tblPayments[Guruh],"bank")</f>
        <v/>
      </c>
      <c r="K18" s="14">
        <f>SUMIFS(tblPayments[Summa_UZS],tblPayments[Sana],H18,tblPayments[Guruh],"credit")</f>
        <v/>
      </c>
      <c r="L18" s="14">
        <f>I18+J18+K18</f>
        <v/>
      </c>
    </row>
    <row r="19">
      <c r="A19" s="27" t="inlineStr">
        <is>
          <t>JAMI</t>
        </is>
      </c>
      <c r="B19" s="24">
        <f>B16+B17+B18</f>
        <v/>
      </c>
      <c r="H19" s="11" t="n">
        <v>46248</v>
      </c>
      <c r="I19" s="14">
        <f>SUMIFS(tblPayments[Summa_UZS],tblPayments[Sana],H19,tblPayments[Guruh],"cash")</f>
        <v/>
      </c>
      <c r="J19" s="14">
        <f>SUMIFS(tblPayments[Summa_UZS],tblPayments[Sana],H19,tblPayments[Guruh],"bank")</f>
        <v/>
      </c>
      <c r="K19" s="14">
        <f>SUMIFS(tblPayments[Summa_UZS],tblPayments[Sana],H19,tblPayments[Guruh],"credit")</f>
        <v/>
      </c>
      <c r="L19" s="14">
        <f>I19+J19+K19</f>
        <v/>
      </c>
    </row>
    <row r="20">
      <c r="H20" s="11" t="n">
        <v>46249</v>
      </c>
      <c r="I20" s="14">
        <f>SUMIFS(tblPayments[Summa_UZS],tblPayments[Sana],H20,tblPayments[Guruh],"cash")</f>
        <v/>
      </c>
      <c r="J20" s="14">
        <f>SUMIFS(tblPayments[Summa_UZS],tblPayments[Sana],H20,tblPayments[Guruh],"bank")</f>
        <v/>
      </c>
      <c r="K20" s="14">
        <f>SUMIFS(tblPayments[Summa_UZS],tblPayments[Sana],H20,tblPayments[Guruh],"credit")</f>
        <v/>
      </c>
      <c r="L20" s="14">
        <f>I20+J20+K20</f>
        <v/>
      </c>
    </row>
    <row r="21">
      <c r="H21" s="11" t="n">
        <v>46250</v>
      </c>
      <c r="I21" s="14">
        <f>SUMIFS(tblPayments[Summa_UZS],tblPayments[Sana],H21,tblPayments[Guruh],"cash")</f>
        <v/>
      </c>
      <c r="J21" s="14">
        <f>SUMIFS(tblPayments[Summa_UZS],tblPayments[Sana],H21,tblPayments[Guruh],"bank")</f>
        <v/>
      </c>
      <c r="K21" s="14">
        <f>SUMIFS(tblPayments[Summa_UZS],tblPayments[Sana],H21,tblPayments[Guruh],"credit")</f>
        <v/>
      </c>
      <c r="L21" s="14">
        <f>I21+J21+K21</f>
        <v/>
      </c>
    </row>
    <row r="22">
      <c r="H22" s="11" t="n">
        <v>46251</v>
      </c>
      <c r="I22" s="14">
        <f>SUMIFS(tblPayments[Summa_UZS],tblPayments[Sana],H22,tblPayments[Guruh],"cash")</f>
        <v/>
      </c>
      <c r="J22" s="14">
        <f>SUMIFS(tblPayments[Summa_UZS],tblPayments[Sana],H22,tblPayments[Guruh],"bank")</f>
        <v/>
      </c>
      <c r="K22" s="14">
        <f>SUMIFS(tblPayments[Summa_UZS],tblPayments[Sana],H22,tblPayments[Guruh],"credit")</f>
        <v/>
      </c>
      <c r="L22" s="14">
        <f>I22+J22+K22</f>
        <v/>
      </c>
    </row>
    <row r="23">
      <c r="H23" s="11" t="n">
        <v>46252</v>
      </c>
      <c r="I23" s="14">
        <f>SUMIFS(tblPayments[Summa_UZS],tblPayments[Sana],H23,tblPayments[Guruh],"cash")</f>
        <v/>
      </c>
      <c r="J23" s="14">
        <f>SUMIFS(tblPayments[Summa_UZS],tblPayments[Sana],H23,tblPayments[Guruh],"bank")</f>
        <v/>
      </c>
      <c r="K23" s="14">
        <f>SUMIFS(tblPayments[Summa_UZS],tblPayments[Sana],H23,tblPayments[Guruh],"credit")</f>
        <v/>
      </c>
      <c r="L23" s="14">
        <f>I23+J23+K23</f>
        <v/>
      </c>
    </row>
    <row r="24">
      <c r="H24" s="11" t="n">
        <v>46253</v>
      </c>
      <c r="I24" s="14">
        <f>SUMIFS(tblPayments[Summa_UZS],tblPayments[Sana],H24,tblPayments[Guruh],"cash")</f>
        <v/>
      </c>
      <c r="J24" s="14">
        <f>SUMIFS(tblPayments[Summa_UZS],tblPayments[Sana],H24,tblPayments[Guruh],"bank")</f>
        <v/>
      </c>
      <c r="K24" s="14">
        <f>SUMIFS(tblPayments[Summa_UZS],tblPayments[Sana],H24,tblPayments[Guruh],"credit")</f>
        <v/>
      </c>
      <c r="L24" s="14">
        <f>I24+J24+K24</f>
        <v/>
      </c>
    </row>
    <row r="25">
      <c r="H25" s="11" t="n">
        <v>46254</v>
      </c>
      <c r="I25" s="14">
        <f>SUMIFS(tblPayments[Summa_UZS],tblPayments[Sana],H25,tblPayments[Guruh],"cash")</f>
        <v/>
      </c>
      <c r="J25" s="14">
        <f>SUMIFS(tblPayments[Summa_UZS],tblPayments[Sana],H25,tblPayments[Guruh],"bank")</f>
        <v/>
      </c>
      <c r="K25" s="14">
        <f>SUMIFS(tblPayments[Summa_UZS],tblPayments[Sana],H25,tblPayments[Guruh],"credit")</f>
        <v/>
      </c>
      <c r="L25" s="14">
        <f>I25+J25+K25</f>
        <v/>
      </c>
    </row>
    <row r="26">
      <c r="H26" s="11" t="n">
        <v>46255</v>
      </c>
      <c r="I26" s="14">
        <f>SUMIFS(tblPayments[Summa_UZS],tblPayments[Sana],H26,tblPayments[Guruh],"cash")</f>
        <v/>
      </c>
      <c r="J26" s="14">
        <f>SUMIFS(tblPayments[Summa_UZS],tblPayments[Sana],H26,tblPayments[Guruh],"bank")</f>
        <v/>
      </c>
      <c r="K26" s="14">
        <f>SUMIFS(tblPayments[Summa_UZS],tblPayments[Sana],H26,tblPayments[Guruh],"credit")</f>
        <v/>
      </c>
      <c r="L26" s="14">
        <f>I26+J26+K26</f>
        <v/>
      </c>
    </row>
    <row r="27">
      <c r="H27" s="11" t="n">
        <v>46256</v>
      </c>
      <c r="I27" s="14">
        <f>SUMIFS(tblPayments[Summa_UZS],tblPayments[Sana],H27,tblPayments[Guruh],"cash")</f>
        <v/>
      </c>
      <c r="J27" s="14">
        <f>SUMIFS(tblPayments[Summa_UZS],tblPayments[Sana],H27,tblPayments[Guruh],"bank")</f>
        <v/>
      </c>
      <c r="K27" s="14">
        <f>SUMIFS(tblPayments[Summa_UZS],tblPayments[Sana],H27,tblPayments[Guruh],"credit")</f>
        <v/>
      </c>
      <c r="L27" s="14">
        <f>I27+J27+K27</f>
        <v/>
      </c>
    </row>
    <row r="28">
      <c r="H28" s="11" t="n">
        <v>46257</v>
      </c>
      <c r="I28" s="14">
        <f>SUMIFS(tblPayments[Summa_UZS],tblPayments[Sana],H28,tblPayments[Guruh],"cash")</f>
        <v/>
      </c>
      <c r="J28" s="14">
        <f>SUMIFS(tblPayments[Summa_UZS],tblPayments[Sana],H28,tblPayments[Guruh],"bank")</f>
        <v/>
      </c>
      <c r="K28" s="14">
        <f>SUMIFS(tblPayments[Summa_UZS],tblPayments[Sana],H28,tblPayments[Guruh],"credit")</f>
        <v/>
      </c>
      <c r="L28" s="14">
        <f>I28+J28+K28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</cols>
  <sheetData>
    <row r="1">
      <c r="A1" s="1" t="inlineStr">
        <is>
          <t>Qarzlar yoshi (AR / AP Aging) - 0-7, 8-30, 31-60, 61+</t>
        </is>
      </c>
    </row>
    <row r="2">
      <c r="A2">
        <f>CONCATENATE("Hisob sanasi (AsOf): ",TEXT(AsOfDate,"yyyy-mm-dd"))</f>
        <v/>
      </c>
    </row>
    <row r="3"/>
    <row r="4">
      <c r="A4" s="21" t="inlineStr">
        <is>
          <t>DEBITORLAR (AR - mijoz)</t>
        </is>
      </c>
    </row>
    <row r="5" ht="32" customHeight="1">
      <c r="A5" s="9" t="inlineStr">
        <is>
          <t>Bucket</t>
        </is>
      </c>
      <c r="B5" s="9" t="inlineStr">
        <is>
          <t>Tavsif</t>
        </is>
      </c>
      <c r="C5" s="9" t="inlineStr">
        <is>
          <t>Summa_UZS</t>
        </is>
      </c>
    </row>
    <row r="6">
      <c r="A6" s="10" t="inlineStr">
        <is>
          <t>0_7</t>
        </is>
      </c>
      <c r="B6" s="10" t="inlineStr">
        <is>
          <t>0-7 kun</t>
        </is>
      </c>
      <c r="C6" s="14">
        <f>SUMIF(tblAR[Bucket],A6,tblAR[Qoldiq])</f>
        <v/>
      </c>
    </row>
    <row r="7">
      <c r="A7" s="10" t="inlineStr">
        <is>
          <t>8_30</t>
        </is>
      </c>
      <c r="B7" s="10" t="inlineStr">
        <is>
          <t>8-30 kun</t>
        </is>
      </c>
      <c r="C7" s="14">
        <f>SUMIF(tblAR[Bucket],A7,tblAR[Qoldiq])</f>
        <v/>
      </c>
    </row>
    <row r="8">
      <c r="A8" s="10" t="inlineStr">
        <is>
          <t>31_60</t>
        </is>
      </c>
      <c r="B8" s="10" t="inlineStr">
        <is>
          <t>31-60 kun</t>
        </is>
      </c>
      <c r="C8" s="14">
        <f>SUMIF(tblAR[Bucket],A8,tblAR[Qoldiq])</f>
        <v/>
      </c>
    </row>
    <row r="9">
      <c r="A9" s="10" t="inlineStr">
        <is>
          <t>60_plus</t>
        </is>
      </c>
      <c r="B9" s="10" t="inlineStr">
        <is>
          <t>61+ kun</t>
        </is>
      </c>
      <c r="C9" s="14">
        <f>SUMIF(tblAR[Bucket],A9,tblAR[Qoldiq])</f>
        <v/>
      </c>
    </row>
    <row r="10">
      <c r="A10" s="6" t="inlineStr">
        <is>
          <t>Jami AR</t>
        </is>
      </c>
      <c r="C10" s="28">
        <f>SUM(C6:C9)</f>
        <v/>
      </c>
    </row>
    <row r="11"/>
    <row r="12">
      <c r="A12" s="21" t="inlineStr">
        <is>
          <t>KREDITORLAR (AP - yetkazuvchi)</t>
        </is>
      </c>
    </row>
    <row r="13" ht="32" customHeight="1">
      <c r="A13" s="9" t="inlineStr">
        <is>
          <t>Bucket</t>
        </is>
      </c>
      <c r="B13" s="9" t="inlineStr">
        <is>
          <t>Tavsif</t>
        </is>
      </c>
      <c r="C13" s="9" t="inlineStr">
        <is>
          <t>Summa_UZS</t>
        </is>
      </c>
    </row>
    <row r="14">
      <c r="A14" s="10" t="inlineStr">
        <is>
          <t>0_7</t>
        </is>
      </c>
      <c r="B14" s="10" t="inlineStr">
        <is>
          <t>0-7 kun</t>
        </is>
      </c>
      <c r="C14" s="14">
        <f>SUMIF(tblAP[Bucket],A14,tblAP[Qoldiq])</f>
        <v/>
      </c>
    </row>
    <row r="15">
      <c r="A15" s="10" t="inlineStr">
        <is>
          <t>8_30</t>
        </is>
      </c>
      <c r="B15" s="10" t="inlineStr">
        <is>
          <t>8-30 kun</t>
        </is>
      </c>
      <c r="C15" s="14">
        <f>SUMIF(tblAP[Bucket],A15,tblAP[Qoldiq])</f>
        <v/>
      </c>
    </row>
    <row r="16">
      <c r="A16" s="10" t="inlineStr">
        <is>
          <t>31_60</t>
        </is>
      </c>
      <c r="B16" s="10" t="inlineStr">
        <is>
          <t>31-60 kun</t>
        </is>
      </c>
      <c r="C16" s="14">
        <f>SUMIF(tblAP[Bucket],A16,tblAP[Qoldiq])</f>
        <v/>
      </c>
    </row>
    <row r="17">
      <c r="A17" s="10" t="inlineStr">
        <is>
          <t>60_plus</t>
        </is>
      </c>
      <c r="B17" s="10" t="inlineStr">
        <is>
          <t>61+ kun</t>
        </is>
      </c>
      <c r="C17" s="14">
        <f>SUMIF(tblAP[Bucket],A17,tblAP[Qoldiq])</f>
        <v/>
      </c>
    </row>
    <row r="18">
      <c r="A18" t="inlineStr">
        <is>
          <t>Jami AP</t>
        </is>
      </c>
      <c r="C18" s="28">
        <f>SUM(C14:C17)</f>
        <v/>
      </c>
    </row>
    <row r="19"/>
    <row r="20">
      <c r="A20" t="inlineStr">
        <is>
          <t>Net pozitsiya (AR - AP)</t>
        </is>
      </c>
      <c r="C20" s="17">
        <f>C10-C18</f>
        <v/>
      </c>
    </row>
  </sheetData>
  <mergeCells count="2">
    <mergeCell ref="A12:C12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>
      <c r="A1" s="1">
        <f>CONCATENATE(StoreName," - Bosh panel")</f>
        <v/>
      </c>
    </row>
    <row r="2">
      <c r="A2" s="2">
        <f>CONCATENATE("Davr: ",TEXT(PeriodStart,"yyyy-mm-dd")," - ",TEXT(PeriodEnd,"yyyy-mm-dd"),"  |  AsOf: ",TEXT(AsOfDate,"yyyy-mm-dd"))</f>
        <v/>
      </c>
    </row>
    <row r="3" ht="32" customHeight="1">
      <c r="A3" s="9" t="inlineStr">
        <is>
          <t>KPI</t>
        </is>
      </c>
      <c r="B3" s="9" t="inlineStr">
        <is>
          <t>Qiymat</t>
        </is>
      </c>
      <c r="D3" s="25" t="inlineStr">
        <is>
          <t>Kassa / Qarz</t>
        </is>
      </c>
      <c r="E3" s="25" t="inlineStr">
        <is>
          <t>Qiymat</t>
        </is>
      </c>
    </row>
    <row r="4">
      <c r="A4" s="22" t="inlineStr">
        <is>
          <t>Net sotuv (UZS)</t>
        </is>
      </c>
      <c r="B4" s="14">
        <f>SUMIFS(tblSales[UZS_eq],tblSales[Sana],"&gt;="&amp;PeriodStart,tblSales[Sana],"&lt;="&amp;PeriodEnd)</f>
        <v/>
      </c>
      <c r="D4" s="22" t="inlineStr">
        <is>
          <t>Naqd tushum</t>
        </is>
      </c>
      <c r="E4" s="14">
        <f>SUMIFS(tblPayments[Summa_UZS],tblPayments[Guruh],"cash",tblPayments[Sana],"&gt;="&amp;PeriodStart,tblPayments[Sana],"&lt;="&amp;PeriodEnd)</f>
        <v/>
      </c>
    </row>
    <row r="5">
      <c r="A5" s="22" t="inlineStr">
        <is>
          <t>COGS</t>
        </is>
      </c>
      <c r="B5" s="14">
        <f>SUMIFS(tblSales[COGS],tblSales[Sana],"&gt;="&amp;PeriodStart,tblSales[Sana],"&lt;="&amp;PeriodEnd)</f>
        <v/>
      </c>
      <c r="D5" s="22" t="inlineStr">
        <is>
          <t>Bank/karta tushum</t>
        </is>
      </c>
      <c r="E5" s="14">
        <f>SUMIFS(tblPayments[Summa_UZS],tblPayments[Guruh],"bank",tblPayments[Sana],"&gt;="&amp;PeriodStart,tblPayments[Sana],"&lt;="&amp;PeriodEnd)</f>
        <v/>
      </c>
    </row>
    <row r="6">
      <c r="A6" s="22" t="inlineStr">
        <is>
          <t>Yalpi foyda</t>
        </is>
      </c>
      <c r="B6" s="14">
        <f>B4-B5</f>
        <v/>
      </c>
      <c r="D6" s="22" t="inlineStr">
        <is>
          <t>Kredit berilgan</t>
        </is>
      </c>
      <c r="E6" s="14">
        <f>SUMIFS(tblPayments[Summa_UZS],tblPayments[Guruh],"credit",tblPayments[Sana],"&gt;="&amp;PeriodStart,tblPayments[Sana],"&lt;="&amp;PeriodEnd)</f>
        <v/>
      </c>
    </row>
    <row r="7">
      <c r="A7" s="22" t="inlineStr">
        <is>
          <t>Gross margin %</t>
        </is>
      </c>
      <c r="B7" s="18">
        <f>IFERROR(B6/B4,0)</f>
        <v/>
      </c>
      <c r="D7" s="22" t="inlineStr">
        <is>
          <t>Jami AR (ochiq)</t>
        </is>
      </c>
      <c r="E7" s="14">
        <f>SUMIF(tblAR[Qoldiq],"&gt;0",tblAR[Qoldiq])</f>
        <v/>
      </c>
    </row>
    <row r="8">
      <c r="A8" s="22" t="inlineStr">
        <is>
          <t>Qaytarishlar</t>
        </is>
      </c>
      <c r="B8" s="14">
        <f>SUMIFS(tblReturns[Qaytarilgan_summa],tblReturns[Sana],"&gt;="&amp;PeriodStart,tblReturns[Sana],"&lt;="&amp;PeriodEnd)</f>
        <v/>
      </c>
      <c r="D8" s="22" t="inlineStr">
        <is>
          <t>Jami AP (ochiq)</t>
        </is>
      </c>
      <c r="E8" s="14">
        <f>SUMIF(tblAP[Qoldiq],"&gt;0",tblAP[Qoldiq])</f>
        <v/>
      </c>
    </row>
    <row r="9">
      <c r="A9" s="22" t="inlineStr">
        <is>
          <t>Xarajatlar</t>
        </is>
      </c>
      <c r="B9" s="14">
        <f>SUMIFS(tblExpenses[Summa_UZS],tblExpenses[Sana],"&gt;="&amp;PeriodStart,tblExpenses[Sana],"&lt;="&amp;PeriodEnd)</f>
        <v/>
      </c>
      <c r="D9" s="22" t="inlineStr">
        <is>
          <t>Ombor qiymati</t>
        </is>
      </c>
      <c r="E9" s="14">
        <f>SUM(tblInventory[Yopilish_qiymat])</f>
        <v/>
      </c>
    </row>
    <row r="10">
      <c r="A10" s="22" t="inlineStr">
        <is>
          <t>Komissiya</t>
        </is>
      </c>
      <c r="B10" s="14">
        <f>SUMIFS(tblPayments[Komissiya],tblPayments[Sana],"&gt;="&amp;PeriodStart,tblPayments[Sana],"&lt;="&amp;PeriodEnd)</f>
        <v/>
      </c>
      <c r="D10" s="22" t="inlineStr">
        <is>
          <t>Xarid (davr)</t>
        </is>
      </c>
      <c r="E10" s="14">
        <f>SUMIFS(tblPurchases[Summa_UZS],tblPurchases[Sana],"&gt;="&amp;PeriodStart,tblPurchases[Sana],"&lt;="&amp;PeriodEnd)</f>
        <v/>
      </c>
    </row>
    <row r="11">
      <c r="A11" s="23" t="inlineStr">
        <is>
          <t>SOF FOYDA</t>
        </is>
      </c>
      <c r="B11" s="29">
        <f>B6-B8+SUMIFS(tblReturns[Returns_COGS],tblReturns[Sana],"&gt;="&amp;PeriodStart,tblReturns[Sana],"&lt;="&amp;PeriodEnd)-B9-B10</f>
        <v/>
      </c>
      <c r="D11" s="22" t="inlineStr">
        <is>
          <t>Past min SKU</t>
        </is>
      </c>
      <c r="E11" s="30">
        <f>COUNTIF(tblInventory[Status],"PAST MIN")</f>
        <v/>
      </c>
    </row>
    <row r="12">
      <c r="A12" s="22" t="inlineStr">
        <is>
          <t>Net margin %</t>
        </is>
      </c>
      <c r="B12" s="18">
        <f>IFERROR(B11/B4,0)</f>
        <v/>
      </c>
    </row>
    <row r="14">
      <c r="A14" s="6" t="inlineStr">
        <is>
          <t>Mahsulot bo'yicha sotuv (davr) - UNIQUE/SUMIFS namuna</t>
        </is>
      </c>
    </row>
    <row r="15" ht="32" customHeight="1">
      <c r="A15" s="9" t="inlineStr">
        <is>
          <t>Kod</t>
        </is>
      </c>
      <c r="B15" s="9" t="inlineStr">
        <is>
          <t>Nomi</t>
        </is>
      </c>
      <c r="C15" s="9" t="inlineStr">
        <is>
          <t>Net_UZS</t>
        </is>
      </c>
      <c r="D15" s="9" t="inlineStr">
        <is>
          <t>COGS</t>
        </is>
      </c>
      <c r="E15" s="9" t="inlineStr">
        <is>
          <t>Foyda</t>
        </is>
      </c>
    </row>
    <row r="16">
      <c r="A16" s="10" t="inlineStr">
        <is>
          <t>PRD-001</t>
        </is>
      </c>
      <c r="B16" s="15">
        <f>IFERROR(XLOOKUP(A16,tblProducts[Kod],tblProducts[Nomi]),"-")</f>
        <v/>
      </c>
      <c r="C16" s="14">
        <f>SUMIFS(tblSales[UZS_eq],tblSales[Mahsulot_kod],A16,tblSales[Sana],"&gt;="&amp;PeriodStart,tblSales[Sana],"&lt;="&amp;PeriodEnd)</f>
        <v/>
      </c>
      <c r="D16" s="14">
        <f>SUMIFS(tblSales[COGS],tblSales[Mahsulot_kod],A16,tblSales[Sana],"&gt;="&amp;PeriodStart,tblSales[Sana],"&lt;="&amp;PeriodEnd)</f>
        <v/>
      </c>
      <c r="E16" s="14">
        <f>C16-D16</f>
        <v/>
      </c>
    </row>
    <row r="17">
      <c r="A17" s="10" t="inlineStr">
        <is>
          <t>PRD-002</t>
        </is>
      </c>
      <c r="B17" s="15">
        <f>IFERROR(XLOOKUP(A17,tblProducts[Kod],tblProducts[Nomi]),"-")</f>
        <v/>
      </c>
      <c r="C17" s="14">
        <f>SUMIFS(tblSales[UZS_eq],tblSales[Mahsulot_kod],A17,tblSales[Sana],"&gt;="&amp;PeriodStart,tblSales[Sana],"&lt;="&amp;PeriodEnd)</f>
        <v/>
      </c>
      <c r="D17" s="14">
        <f>SUMIFS(tblSales[COGS],tblSales[Mahsulot_kod],A17,tblSales[Sana],"&gt;="&amp;PeriodStart,tblSales[Sana],"&lt;="&amp;PeriodEnd)</f>
        <v/>
      </c>
      <c r="E17" s="14">
        <f>C17-D17</f>
        <v/>
      </c>
    </row>
    <row r="18">
      <c r="A18" s="10" t="inlineStr">
        <is>
          <t>PRD-003</t>
        </is>
      </c>
      <c r="B18" s="15">
        <f>IFERROR(XLOOKUP(A18,tblProducts[Kod],tblProducts[Nomi]),"-")</f>
        <v/>
      </c>
      <c r="C18" s="14">
        <f>SUMIFS(tblSales[UZS_eq],tblSales[Mahsulot_kod],A18,tblSales[Sana],"&gt;="&amp;PeriodStart,tblSales[Sana],"&lt;="&amp;PeriodEnd)</f>
        <v/>
      </c>
      <c r="D18" s="14">
        <f>SUMIFS(tblSales[COGS],tblSales[Mahsulot_kod],A18,tblSales[Sana],"&gt;="&amp;PeriodStart,tblSales[Sana],"&lt;="&amp;PeriodEnd)</f>
        <v/>
      </c>
      <c r="E18" s="14">
        <f>C18-D18</f>
        <v/>
      </c>
    </row>
    <row r="19">
      <c r="A19" s="10" t="inlineStr">
        <is>
          <t>PRD-004</t>
        </is>
      </c>
      <c r="B19" s="15">
        <f>IFERROR(XLOOKUP(A19,tblProducts[Kod],tblProducts[Nomi]),"-")</f>
        <v/>
      </c>
      <c r="C19" s="14">
        <f>SUMIFS(tblSales[UZS_eq],tblSales[Mahsulot_kod],A19,tblSales[Sana],"&gt;="&amp;PeriodStart,tblSales[Sana],"&lt;="&amp;PeriodEnd)</f>
        <v/>
      </c>
      <c r="D19" s="14">
        <f>SUMIFS(tblSales[COGS],tblSales[Mahsulot_kod],A19,tblSales[Sana],"&gt;="&amp;PeriodStart,tblSales[Sana],"&lt;="&amp;PeriodEnd)</f>
        <v/>
      </c>
      <c r="E19" s="14">
        <f>C19-D19</f>
        <v/>
      </c>
    </row>
    <row r="20">
      <c r="A20" s="10" t="inlineStr">
        <is>
          <t>PRD-005</t>
        </is>
      </c>
      <c r="B20" s="15">
        <f>IFERROR(XLOOKUP(A20,tblProducts[Kod],tblProducts[Nomi]),"-")</f>
        <v/>
      </c>
      <c r="C20" s="14">
        <f>SUMIFS(tblSales[UZS_eq],tblSales[Mahsulot_kod],A20,tblSales[Sana],"&gt;="&amp;PeriodStart,tblSales[Sana],"&lt;="&amp;PeriodEnd)</f>
        <v/>
      </c>
      <c r="D20" s="14">
        <f>SUMIFS(tblSales[COGS],tblSales[Mahsulot_kod],A20,tblSales[Sana],"&gt;="&amp;PeriodStart,tblSales[Sana],"&lt;="&amp;PeriodEnd)</f>
        <v/>
      </c>
      <c r="E20" s="14">
        <f>C20-D20</f>
        <v/>
      </c>
    </row>
    <row r="23">
      <c r="A23" s="6" t="inlineStr">
        <is>
          <t>Tezkor yo'riqnoma</t>
        </is>
      </c>
    </row>
    <row r="24">
      <c r="A24" t="inlineStr">
        <is>
          <t>1) Parametrlar da davrni o'zgartiring → barcha KPI yangilanadi (SUMIFS).</t>
        </is>
      </c>
    </row>
    <row r="25">
      <c r="A25" t="inlineStr">
        <is>
          <t>2) Faqat sariq kataklarga yozing; yashil formulalarni saqlang.</t>
        </is>
      </c>
    </row>
    <row r="26">
      <c r="A26" t="inlineStr">
        <is>
          <t>3) Ombor uchun yoki 02_Harakatlar YOKI 03+04 dan foydalaning (ikkisini birga emas).</t>
        </is>
      </c>
    </row>
    <row r="27">
      <c r="A27" t="inlineStr">
        <is>
          <t>4) Excel 365/2021 tavsiya: XLOOKUP, SUMIFS. FILTER/UNIQUE ixtiyoriy kengaytirish uchun.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2026-08-23T16:50:35Z</dcterms:created>
  <dcterms:modified xmlns:dcterms="http://purl.org/dc/terms/" xmlns:xsi="http://www.w3.org/2001/XMLSchema-instance" xsi:type="dcterms:W3CDTF">2026-08-23T16:50:35Z</dcterms:modified>
</cp:coreProperties>
</file>